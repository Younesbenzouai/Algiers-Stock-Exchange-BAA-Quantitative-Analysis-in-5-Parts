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32ad4a146968188/Desktop/LinkedIn/DZ/Outil d'optimisation de portefeuille boursier/"/>
    </mc:Choice>
  </mc:AlternateContent>
  <xr:revisionPtr revIDLastSave="5" documentId="11_B3054F59629DB1AB551A43E40C9E57ACF8EC9EDF" xr6:coauthVersionLast="47" xr6:coauthVersionMax="47" xr10:uidLastSave="{1548F556-53A1-4655-89A0-942738990804}"/>
  <bookViews>
    <workbookView xWindow="-28920" yWindow="-120" windowWidth="29040" windowHeight="15720" tabRatio="500" firstSheet="5" activeTab="10" xr2:uid="{00000000-000D-0000-FFFF-FFFF00000000}"/>
  </bookViews>
  <sheets>
    <sheet name="Prix BAA" sheetId="1" r:id="rId1"/>
    <sheet name="Dividendes" sheetId="2" r:id="rId2"/>
    <sheet name="Rendements" sheetId="3" r:id="rId3"/>
    <sheet name="Statistiques" sheetId="4" r:id="rId4"/>
    <sheet name="Portefeuilles" sheetId="5" r:id="rId5"/>
    <sheet name="Corrélation" sheetId="6" r:id="rId6"/>
    <sheet name="Taux Directeur" sheetId="7" r:id="rId7"/>
    <sheet name="Capitalisation" sheetId="8" r:id="rId8"/>
    <sheet name="Inflation" sheetId="9" r:id="rId9"/>
    <sheet name="Taux de Change" sheetId="10" r:id="rId10"/>
    <sheet name="Volumes BOC" sheetId="11" r:id="rId11"/>
    <sheet name="DZAIRINDEX"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5" l="1"/>
  <c r="J9" i="5"/>
  <c r="J8" i="5"/>
  <c r="J7" i="5"/>
  <c r="J6" i="5"/>
  <c r="I394" i="1"/>
  <c r="H394" i="1"/>
  <c r="I393" i="1"/>
  <c r="H393" i="1"/>
  <c r="G393" i="1"/>
  <c r="F393" i="1"/>
  <c r="E393" i="1"/>
  <c r="D393" i="1"/>
  <c r="C393" i="1"/>
  <c r="B393" i="1"/>
  <c r="I392" i="1"/>
  <c r="H392" i="1"/>
  <c r="G392" i="1"/>
  <c r="G394" i="1" s="1"/>
  <c r="F392" i="1"/>
  <c r="F394" i="1" s="1"/>
  <c r="E392" i="1"/>
  <c r="E394" i="1" s="1"/>
  <c r="D392" i="1"/>
  <c r="D394" i="1" s="1"/>
  <c r="C392" i="1"/>
  <c r="C394" i="1" s="1"/>
  <c r="B392" i="1"/>
  <c r="B394" i="1" s="1"/>
</calcChain>
</file>

<file path=xl/sharedStrings.xml><?xml version="1.0" encoding="utf-8"?>
<sst xmlns="http://schemas.openxmlformats.org/spreadsheetml/2006/main" count="4616" uniqueCount="598">
  <si>
    <t>🇩🇿  BOURSE D'ALGER — PRIX DES ACTIONS (DZD)</t>
  </si>
  <si>
    <t>8 actions · Prix de clôture bruts · 385 dates · Généré le 07/07/2026</t>
  </si>
  <si>
    <t>Date</t>
  </si>
  <si>
    <t>ALL
Alliance Assurances</t>
  </si>
  <si>
    <t>AOM
AOM Invest</t>
  </si>
  <si>
    <t>BDL
Banque Dév. Local</t>
  </si>
  <si>
    <t>BIO
BIOPHARM</t>
  </si>
  <si>
    <t>CPA
Crédit Pop. Algérie</t>
  </si>
  <si>
    <t>AUR
EGH El Aurassi</t>
  </si>
  <si>
    <t>MST
Moustachir</t>
  </si>
  <si>
    <t>SAI
SAIDAL</t>
  </si>
  <si>
    <t>Secteur →</t>
  </si>
  <si>
    <t>Assurances</t>
  </si>
  <si>
    <t>Investissement</t>
  </si>
  <si>
    <t>Banque</t>
  </si>
  <si>
    <t>Pharma</t>
  </si>
  <si>
    <t>Hôtellerie</t>
  </si>
  <si>
    <t>Finance</t>
  </si>
  <si>
    <t>—</t>
  </si>
  <si>
    <t>Prix actuel (DZD)</t>
  </si>
  <si>
    <t>Prix initial (DZD)</t>
  </si>
  <si>
    <t>Variation totale (%)</t>
  </si>
  <si>
    <t>🇩🇿  DIVIDENDES DISTRIBUÉS — BOURSE D'ALGER</t>
  </si>
  <si>
    <t>Source : Communiqués officiels BAA/SGBV · Montants en DA/action · AOM, MST : aucun dividende connu</t>
  </si>
  <si>
    <t xml:space="preserve">  A. HISTORIQUE COMPLET DES VERSEMENTS (2014 → 2025)</t>
  </si>
  <si>
    <t>#</t>
  </si>
  <si>
    <t>Ticker</t>
  </si>
  <si>
    <t>Société</t>
  </si>
  <si>
    <t>Date Paiement</t>
  </si>
  <si>
    <t>Exercice</t>
  </si>
  <si>
    <t>Montant (DA/action)</t>
  </si>
  <si>
    <t>Dans période analyse</t>
  </si>
  <si>
    <t>Notes</t>
  </si>
  <si>
    <t>ALL</t>
  </si>
  <si>
    <t>Alliance Assurances</t>
  </si>
  <si>
    <t>❌ Avant 2024</t>
  </si>
  <si>
    <t>Rdt: 7.5%</t>
  </si>
  <si>
    <t>AUR</t>
  </si>
  <si>
    <t>EGH El Aurassi</t>
  </si>
  <si>
    <t>BDL</t>
  </si>
  <si>
    <t>Banque Dév. Local</t>
  </si>
  <si>
    <t>✅ OUI</t>
  </si>
  <si>
    <t>Rdt: 5.7%</t>
  </si>
  <si>
    <t>BIO</t>
  </si>
  <si>
    <t>BIOPHARM</t>
  </si>
  <si>
    <t>Rdt: 7.6%</t>
  </si>
  <si>
    <t>Rdt: 6.8%</t>
  </si>
  <si>
    <t>CPA</t>
  </si>
  <si>
    <t>Crédit Pop. Algérie</t>
  </si>
  <si>
    <t>SAI</t>
  </si>
  <si>
    <t>SAIDAL</t>
  </si>
  <si>
    <t>Rdt: 5.5%</t>
  </si>
  <si>
    <t xml:space="preserve">  B. RÉCAPITULATIF PAR ACTION — RENDEMENT TOTAL (PRIX + DIVIDENDES)</t>
  </si>
  <si>
    <t>Prix Initial</t>
  </si>
  <si>
    <t>Prix Final</t>
  </si>
  <si>
    <t>Var. Prix</t>
  </si>
  <si>
    <t>Div. Hist. (DA)</t>
  </si>
  <si>
    <t>Div. Période (DA)</t>
  </si>
  <si>
    <t>Rdt Div. (%)</t>
  </si>
  <si>
    <t>Rdt TOTAL (%)</t>
  </si>
  <si>
    <t>AOM</t>
  </si>
  <si>
    <t>AOM Invest</t>
  </si>
  <si>
    <t>MST</t>
  </si>
  <si>
    <t>Moustachir</t>
  </si>
  <si>
    <t>⚠️  Période d'analyse : 13/03/2025 → 06/07/2026 (200 séances). Div. Période = dividendes versés pendant cette fenêtre uniquement.</t>
  </si>
  <si>
    <t>🇩🇿  RENDEMENTS JOURNALIERS (%)</t>
  </si>
  <si>
    <t>Calculé sur prix avec forward-fill · Vert = positif · Rouge = négatif</t>
  </si>
  <si>
    <t>🇩🇿  STATISTIQUES INDIVIDUELLES — 8 ACTIONS BAA</t>
  </si>
  <si>
    <t>Période : 13/03/2025 → 06/07/2026 | Rf = 3.0%</t>
  </si>
  <si>
    <t>Indicateur</t>
  </si>
  <si>
    <t>── PRIX ──────────────────────</t>
  </si>
  <si>
    <t>Prix Initial (DZD)</t>
  </si>
  <si>
    <t>Prix Final (DZD)</t>
  </si>
  <si>
    <t>Variation Prix (%)</t>
  </si>
  <si>
    <t>── DIVIDENDES ────────────────</t>
  </si>
  <si>
    <t>Div. Cumulés — Historique (DA)</t>
  </si>
  <si>
    <t>Div. Cumulés — Période Analyse (DA)</t>
  </si>
  <si>
    <t>Rendement Dividendes (%)</t>
  </si>
  <si>
    <t>★ RENDEMENT TOTAL (%)</t>
  </si>
  <si>
    <t>── RISQUE &amp; PERFORMANCE ──────</t>
  </si>
  <si>
    <t>Rendement Annualisé (%)</t>
  </si>
  <si>
    <t>Volatilité Annualisée (%)</t>
  </si>
  <si>
    <t>Sharpe Ratio</t>
  </si>
  <si>
    <t>Sortino Ratio</t>
  </si>
  <si>
    <t>Calmar Ratio</t>
  </si>
  <si>
    <t>Max Drawdown (%)</t>
  </si>
  <si>
    <t>VaR 95% (%)</t>
  </si>
  <si>
    <t>CVaR 95% (%)</t>
  </si>
  <si>
    <t>Win Rate (%)</t>
  </si>
  <si>
    <t>── INFO ──────────────────────</t>
  </si>
  <si>
    <t>Nb Séances</t>
  </si>
  <si>
    <t>Nb Versements Dividendes (total)</t>
  </si>
  <si>
    <t>Nb Versements Dividendes (période)</t>
  </si>
  <si>
    <t>🇩🇿  PORTEFEUILLES OPTIMISÉS — BOURSE D'ALGER</t>
  </si>
  <si>
    <t>5 stratégies | Rf=3.0% | 13/03/2025 → 06/07/2026</t>
  </si>
  <si>
    <t xml:space="preserve">  A. POIDS DES ACTIONS PAR PORTEFEUILLE (%)</t>
  </si>
  <si>
    <t>Stratégie</t>
  </si>
  <si>
    <t>TOTAL</t>
  </si>
  <si>
    <t>Max Sharpe</t>
  </si>
  <si>
    <t>Min Drawdown</t>
  </si>
  <si>
    <t>Max Espérance</t>
  </si>
  <si>
    <t>Min Volatilité</t>
  </si>
  <si>
    <t>Équi-pondéré</t>
  </si>
  <si>
    <t xml:space="preserve">  B. MÉTRIQUES DE PERFORMANCE</t>
  </si>
  <si>
    <t>Portefeuille</t>
  </si>
  <si>
    <t>Rendement (%)</t>
  </si>
  <si>
    <t>Volatilité (%)</t>
  </si>
  <si>
    <t>Sharpe</t>
  </si>
  <si>
    <t>Sortino</t>
  </si>
  <si>
    <t>Max DD (%)</t>
  </si>
  <si>
    <t>🇩🇿  MATRICE DE CORRÉLATION DES RENDEMENTS</t>
  </si>
  <si>
    <t>1 = parfaitement corrélé | 0 = indépendant | -1 = opposé</t>
  </si>
  <si>
    <t>Corrélation</t>
  </si>
  <si>
    <t>ALL — Alliance Assurances</t>
  </si>
  <si>
    <t>AOM — AOM Invest</t>
  </si>
  <si>
    <t>BDL — Banque Dév. Local</t>
  </si>
  <si>
    <t>BIO — BIOPHARM</t>
  </si>
  <si>
    <t>CPA — Crédit Pop. Algérie</t>
  </si>
  <si>
    <t>AUR — EGH El Aurassi</t>
  </si>
  <si>
    <t>MST — Moustachir</t>
  </si>
  <si>
    <t>SAI — SAIDAL</t>
  </si>
  <si>
    <t>🇩🇿  TAUX DU MARCHÉ MONÉTAIRE ALGÉRIEN — BANQUE D'ALGÉRIE</t>
  </si>
  <si>
    <t>Source : Banque d'Algérie | Jan 2002 → May 2026 | 293 observations mensuelles</t>
  </si>
  <si>
    <t xml:space="preserve">  A. TAUX SANS RISQUE UTILISÉ DANS L'ANALYSE</t>
  </si>
  <si>
    <t>Taux utilisé comme Rf dans l'analyse</t>
  </si>
  <si>
    <t>3.00%</t>
  </si>
  <si>
    <t>Taux directeur BAA en vigueur au début de la période (Jan 2024)</t>
  </si>
  <si>
    <t>Taux directeur actuel (mai 2026)</t>
  </si>
  <si>
    <t>2.50%</t>
  </si>
  <si>
    <t>Dernière décision de politique monétaire connue</t>
  </si>
  <si>
    <t>Taux directeur moyen — période analyse</t>
  </si>
  <si>
    <t>2.879%</t>
  </si>
  <si>
    <t>Moyenne arithmétique Jan 2024 → Mai 2026</t>
  </si>
  <si>
    <t>Facilité de prêt marginal (mai 2026)</t>
  </si>
  <si>
    <t>4.50%</t>
  </si>
  <si>
    <t>Plafond du corridor de taux — proxy coût du capital</t>
  </si>
  <si>
    <t>Justification du Rf à 3%</t>
  </si>
  <si>
    <t>✅ Validé</t>
  </si>
  <si>
    <t>Conforme au taux directeur réel sur la période d'analyse</t>
  </si>
  <si>
    <t xml:space="preserve">  B. ÉVOLUTION DU TAUX DIRECTEUR — PÉRIODE D'ANALYSE (2024 → 2026)</t>
  </si>
  <si>
    <t>Mois</t>
  </si>
  <si>
    <t>Taux Directeur (%)</t>
  </si>
  <si>
    <t>Facilité Dépôt (%)</t>
  </si>
  <si>
    <t>Facilité Prêt Marginal (%)</t>
  </si>
  <si>
    <t>Variation</t>
  </si>
  <si>
    <t>Statut</t>
  </si>
  <si>
    <t>Jan 2024</t>
  </si>
  <si>
    <t>0.00%</t>
  </si>
  <si>
    <t>5.00%</t>
  </si>
  <si>
    <t>📋 Avant période commune</t>
  </si>
  <si>
    <t>Feb 2024</t>
  </si>
  <si>
    <t>Mar 2024</t>
  </si>
  <si>
    <t>Apr 2024</t>
  </si>
  <si>
    <t>May 2024</t>
  </si>
  <si>
    <t>Jun 2024</t>
  </si>
  <si>
    <t>Jul 2024</t>
  </si>
  <si>
    <t>Aug 2024</t>
  </si>
  <si>
    <t>Sep 2024</t>
  </si>
  <si>
    <t>Oct 2024</t>
  </si>
  <si>
    <t>Nov 2024</t>
  </si>
  <si>
    <t>Dec 2024</t>
  </si>
  <si>
    <t>Jan 2025</t>
  </si>
  <si>
    <t>Feb 2025</t>
  </si>
  <si>
    <t>Mar 2025</t>
  </si>
  <si>
    <t>✅ Dans la période</t>
  </si>
  <si>
    <t>Apr 2025</t>
  </si>
  <si>
    <t>May 2025</t>
  </si>
  <si>
    <t>Jun 2025</t>
  </si>
  <si>
    <t>Jul 2025</t>
  </si>
  <si>
    <t>Aug 2025</t>
  </si>
  <si>
    <t>Sep 2025</t>
  </si>
  <si>
    <t>2.75%</t>
  </si>
  <si>
    <t>4.75%</t>
  </si>
  <si>
    <t>🔽 Baisse</t>
  </si>
  <si>
    <t>Oct 2025</t>
  </si>
  <si>
    <t>Nov 2025</t>
  </si>
  <si>
    <t>Dec 2025</t>
  </si>
  <si>
    <t>Jan 2026</t>
  </si>
  <si>
    <t>Feb 2026</t>
  </si>
  <si>
    <t>Mar 2026</t>
  </si>
  <si>
    <t>Apr 2026</t>
  </si>
  <si>
    <t>May 2026</t>
  </si>
  <si>
    <t xml:space="preserve">  C. HISTORIQUE COMPLET DES TAUX (2002 → MAI 2026)</t>
  </si>
  <si>
    <t>Taux Réescompte (%)</t>
  </si>
  <si>
    <t>Rémun. Réserve Oblig. (%)</t>
  </si>
  <si>
    <t>Pénalité Réserve Oblig. (%)</t>
  </si>
  <si>
    <t>Jan 2002</t>
  </si>
  <si>
    <t>5.50%</t>
  </si>
  <si>
    <t>3.50%</t>
  </si>
  <si>
    <t>1.00%</t>
  </si>
  <si>
    <t>Feb 2002</t>
  </si>
  <si>
    <t>Mar 2002</t>
  </si>
  <si>
    <t>Apr 2002</t>
  </si>
  <si>
    <t>May 2002</t>
  </si>
  <si>
    <t>Jun 2002</t>
  </si>
  <si>
    <t>Jul 2002</t>
  </si>
  <si>
    <t>Aug 2002</t>
  </si>
  <si>
    <t>Sep 2002</t>
  </si>
  <si>
    <t>Oct 2002</t>
  </si>
  <si>
    <t>Nov 2002</t>
  </si>
  <si>
    <t>Dec 2002</t>
  </si>
  <si>
    <t>Jan 2003</t>
  </si>
  <si>
    <t>Feb 2003</t>
  </si>
  <si>
    <t>Mar 2003</t>
  </si>
  <si>
    <t>Apr 2003</t>
  </si>
  <si>
    <t>May 2003</t>
  </si>
  <si>
    <t>Jun 2003</t>
  </si>
  <si>
    <t>Jul 2003</t>
  </si>
  <si>
    <t>Aug 2003</t>
  </si>
  <si>
    <t>Sep 2003</t>
  </si>
  <si>
    <t>Oct 2003</t>
  </si>
  <si>
    <t>Nov 2003</t>
  </si>
  <si>
    <t>Dec 2003</t>
  </si>
  <si>
    <t>Jan 2004</t>
  </si>
  <si>
    <t>Feb 2004</t>
  </si>
  <si>
    <t>Mar 2004</t>
  </si>
  <si>
    <t>4.00%</t>
  </si>
  <si>
    <t>Apr 2004</t>
  </si>
  <si>
    <t>May 2004</t>
  </si>
  <si>
    <t>1.75%</t>
  </si>
  <si>
    <t>3.75%</t>
  </si>
  <si>
    <t>Jun 2004</t>
  </si>
  <si>
    <t>Jul 2004</t>
  </si>
  <si>
    <t>Aug 2004</t>
  </si>
  <si>
    <t>Sep 2004</t>
  </si>
  <si>
    <t>Oct 2004</t>
  </si>
  <si>
    <t>Nov 2004</t>
  </si>
  <si>
    <t>Dec 2004</t>
  </si>
  <si>
    <t>Jan 2005</t>
  </si>
  <si>
    <t>Feb 2005</t>
  </si>
  <si>
    <t>Mar 2005</t>
  </si>
  <si>
    <t>Apr 2005</t>
  </si>
  <si>
    <t>May 2005</t>
  </si>
  <si>
    <t>Jun 2005</t>
  </si>
  <si>
    <t>Jul 2005</t>
  </si>
  <si>
    <t>Aug 2005</t>
  </si>
  <si>
    <t>Sep 2005</t>
  </si>
  <si>
    <t>0.30%</t>
  </si>
  <si>
    <t>Oct 2005</t>
  </si>
  <si>
    <t>Nov 2005</t>
  </si>
  <si>
    <t>Dec 2005</t>
  </si>
  <si>
    <t>Jan 2006</t>
  </si>
  <si>
    <t>Feb 2006</t>
  </si>
  <si>
    <t>Mar 2006</t>
  </si>
  <si>
    <t>Apr 2006</t>
  </si>
  <si>
    <t>May 2006</t>
  </si>
  <si>
    <t>Jun 2006</t>
  </si>
  <si>
    <t>Jul 2006</t>
  </si>
  <si>
    <t>Aug 2006</t>
  </si>
  <si>
    <t>Sep 2006</t>
  </si>
  <si>
    <t>Oct 2006</t>
  </si>
  <si>
    <t>Nov 2006</t>
  </si>
  <si>
    <t>Dec 2006</t>
  </si>
  <si>
    <t>Jan 2007</t>
  </si>
  <si>
    <t>Feb 2007</t>
  </si>
  <si>
    <t>Mar 2007</t>
  </si>
  <si>
    <t>Apr 2007</t>
  </si>
  <si>
    <t>May 2007</t>
  </si>
  <si>
    <t>Jun 2007</t>
  </si>
  <si>
    <t>Jul 2007</t>
  </si>
  <si>
    <t>Aug 2007</t>
  </si>
  <si>
    <t>Sep 2007</t>
  </si>
  <si>
    <t>Oct 2007</t>
  </si>
  <si>
    <t>Nov 2007</t>
  </si>
  <si>
    <t>Dec 2007</t>
  </si>
  <si>
    <t>0.75%</t>
  </si>
  <si>
    <t>Jan 2008</t>
  </si>
  <si>
    <t>Feb 2008</t>
  </si>
  <si>
    <t>Mar 2008</t>
  </si>
  <si>
    <t>Apr 2008</t>
  </si>
  <si>
    <t>May 2008</t>
  </si>
  <si>
    <t>Jun 2008</t>
  </si>
  <si>
    <t>Jul 2008</t>
  </si>
  <si>
    <t>Aug 2008</t>
  </si>
  <si>
    <t>Sep 2008</t>
  </si>
  <si>
    <t>Oct 2008</t>
  </si>
  <si>
    <t>Nov 2008</t>
  </si>
  <si>
    <t>Dec 2008</t>
  </si>
  <si>
    <t>Jan 2009</t>
  </si>
  <si>
    <t>Feb 2009</t>
  </si>
  <si>
    <t>Mar 2009</t>
  </si>
  <si>
    <t>0.50%</t>
  </si>
  <si>
    <t>Apr 2009</t>
  </si>
  <si>
    <t>May 2009</t>
  </si>
  <si>
    <t>Jun 2009</t>
  </si>
  <si>
    <t>Jul 2009</t>
  </si>
  <si>
    <t>Aug 2009</t>
  </si>
  <si>
    <t>Sep 2009</t>
  </si>
  <si>
    <t>Oct 2009</t>
  </si>
  <si>
    <t>Nov 2009</t>
  </si>
  <si>
    <t>Dec 2009</t>
  </si>
  <si>
    <t>Jan 2010</t>
  </si>
  <si>
    <t>Feb 2010</t>
  </si>
  <si>
    <t>Mar 2010</t>
  </si>
  <si>
    <t>Apr 2010</t>
  </si>
  <si>
    <t>May 2010</t>
  </si>
  <si>
    <t>Jun 2010</t>
  </si>
  <si>
    <t>Jul 2010</t>
  </si>
  <si>
    <t>Aug 2010</t>
  </si>
  <si>
    <t>Sep 2010</t>
  </si>
  <si>
    <t>Oct 2010</t>
  </si>
  <si>
    <t>Nov 2010</t>
  </si>
  <si>
    <t>Dec 2010</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</si>
  <si>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</si>
  <si>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</si>
  <si>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</si>
  <si>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</si>
  <si>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</si>
  <si>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</si>
  <si>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</si>
  <si>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</si>
  <si>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</si>
  <si>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</si>
  <si>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</si>
  <si>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</si>
  <si>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</si>
  <si>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</si>
  <si>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</si>
  <si>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</si>
  <si>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</si>
  <si>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</si>
  <si>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</si>
  <si>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</si>
  <si>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</si>
  <si>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</si>
  <si>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</si>
  <si>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</si>
  <si>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</si>
  <si>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</si>
  <si>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</si>
  <si>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</si>
  <si>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</si>
  <si>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</si>
  <si>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</si>
  <si>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</si>
  <si>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</si>
  <si>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</si>
  <si>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</si>
  <si>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</si>
  <si>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</si>
  <si>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</si>
  <si>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</si>
  <si>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</si>
  <si>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</si>
  <si>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</si>
  <si>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</si>
  <si>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</si>
  <si>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</si>
  <si>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</si>
  <si>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</si>
  <si>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</si>
  <si>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</si>
  <si>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</si>
  <si>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</si>
  <si>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</si>
  <si>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</si>
  <si>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</si>
  <si>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</si>
  <si>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</si>
  <si>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</si>
  <si>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</si>
  <si>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</si>
  <si>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</si>
  <si>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</si>
  <si>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</si>
  <si>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</si>
  <si>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</si>
  <si>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</si>
  <si>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</si>
  <si>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</si>
  <si>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</si>
  <si>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</si>
  <si>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</si>
  <si>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</si>
  <si>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</si>
  <si>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</si>
  <si>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</si>
  <si>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</si>
  <si>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</si>
  <si>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</si>
  <si>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</si>
  <si>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</si>
  <si>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</si>
  <si>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</si>
  <si>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</si>
  <si>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</si>
  <si>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</si>
  <si>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</si>
  <si>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</si>
  <si>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</si>
  <si>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</si>
  <si>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</si>
  <si>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</si>
  <si>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</si>
  <si>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</si>
  <si>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</si>
  <si>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</si>
  <si>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</si>
  <si>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</si>
  <si>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</si>
  <si>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</si>
  <si>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</si>
  <si>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</si>
  <si>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</si>
  <si>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</si>
  <si>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</si>
  <si>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</si>
  <si>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</si>
  <si>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</si>
  <si>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</si>
  <si>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</si>
  <si>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</si>
  <si>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</si>
  <si>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</si>
  <si>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3.25%</t>
  </si>
  <si>
    <t>5.25%</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</si>
  <si>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</si>
  <si>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</si>
  <si>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</si>
  <si>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</si>
  <si>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</si>
  <si>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</si>
  <si>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</si>
  <si>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</si>
  <si>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</si>
  <si>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</si>
  <si>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</si>
  <si>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</si>
  <si>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</si>
  <si>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</si>
  <si>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</si>
  <si>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</si>
  <si>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</si>
  <si>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</si>
  <si>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</si>
  <si>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</si>
  <si>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</si>
  <si>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</si>
  <si>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</si>
  <si>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</si>
  <si>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</si>
  <si>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</si>
  <si>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</si>
  <si>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</si>
  <si>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</si>
  <si>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</si>
  <si>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</si>
  <si>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</si>
  <si>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</si>
  <si>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</si>
  <si>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</si>
  <si>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</si>
  <si>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</si>
  <si>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</si>
  <si>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</si>
  <si>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</si>
  <si>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</si>
  <si>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</si>
  <si>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</si>
  <si>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</si>
  <si>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</si>
  <si>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 Vert = période d'analyse (2024→2026) | 🟣 Violet = changement de taux | Taux Directeur disponible depuis mars 2017 (introduit par la Banque d'Algérie)</t>
  </si>
  <si>
    <t>🇩🇿  CAPITALISATION BOURSIÈRE — BOURSE D'ALGER</t>
  </si>
  <si>
    <t>Source : BAA | Jan 2025 → Juil 2026 | Montants en DZD | Marché total : 743.7 Mrd DZD</t>
  </si>
  <si>
    <t xml:space="preserve">  A. RÉSUMÉ — DERNIÈRE DATE DISPONIBLE</t>
  </si>
  <si>
    <t>Secteur</t>
  </si>
  <si>
    <t>Cap. Actuelle (DZD)</t>
  </si>
  <si>
    <t>Cap. (Mrd DZD)</t>
  </si>
  <si>
    <t>Poids dans l'indice (%)</t>
  </si>
  <si>
    <t>Cap. Min (Mrd)</t>
  </si>
  <si>
    <t>Cap. Max (Mrd)</t>
  </si>
  <si>
    <t>Variation Cap. (%)</t>
  </si>
  <si>
    <t>TOTAL BAA</t>
  </si>
  <si>
    <t>⚠️  Marché très concentré : CPA représente 61.9% et BDL 27.7% de la capitalisation totale. BIO, ALL, SAI, AUR, AOM, MST = 10.4% combinés. L'optimisation de portefeuille sans contrainte de capitalisation peut générer des poids irréalistes.</t>
  </si>
  <si>
    <t xml:space="preserve">  B. ÉVOLUTION QUOTIDIENNE DES CAPITALISATIONS (Mrd DZD)</t>
  </si>
  <si>
    <t>🇩🇿  INFLATION EN MOYENNE ANNUELLE — ALGÉRIE (VILLE D'ALGER)</t>
  </si>
  <si>
    <t>Source : ONS (Office National des Statistiques) | Base 2001 | Jan 2004 → Fév 2026 | 266 observations</t>
  </si>
  <si>
    <t xml:space="preserve">  A. TABLEAU DE BORD MACRO — RENDEMENT RÉEL DES ACTIONS BAA</t>
  </si>
  <si>
    <t>Taux sans risque nominal utilisé (Rf)</t>
  </si>
  <si>
    <t>3.0%</t>
  </si>
  <si>
    <t>Taux directeur Banque d'Algérie (début période)</t>
  </si>
  <si>
    <t>Inflation moyenne — période analyse</t>
  </si>
  <si>
    <t>4.44%</t>
  </si>
  <si>
    <t>Jan 2024 → Fév 2026 (ONS, moyenne glissante)</t>
  </si>
  <si>
    <t>Taux sans risque RÉEL (Fisher)</t>
  </si>
  <si>
    <t>-1.38%</t>
  </si>
  <si>
    <t>Formule de Fisher: (1+Rf)/(1+Inflation) - 1</t>
  </si>
  <si>
    <t>Dernière inflation connue</t>
  </si>
  <si>
    <t>1.20%</t>
  </si>
  <si>
    <t>Fév 2026 — en forte baisse vs pic de 9.5% (2023)</t>
  </si>
  <si>
    <t>Taux directeur actuel</t>
  </si>
  <si>
    <t>Mai 2026 — Banque d'Algérie</t>
  </si>
  <si>
    <t>Taux réel actuel (Fisher)</t>
  </si>
  <si>
    <t>1.28%</t>
  </si>
  <si>
    <t>Taux directeur - inflation fév 2026</t>
  </si>
  <si>
    <t>💡  INSIGHT : Le taux sans risque réel sur la période est de -1.38%. Pour qu'un investissement en actions BAA soit rationnel, son rendement réel doit dépasser -1.38%. BIOPHARM (+23.9% total) et BDL (+5.6%) dépassent ce seuil. ALL (-14.8%), AUR (-20%) et SAI (-6.8%) détruisent de la valeur en termes réels.</t>
  </si>
  <si>
    <t xml:space="preserve">  B. HISTORIQUE COMPLET — IPC GLOBAL (2004 → 2026)</t>
  </si>
  <si>
    <t>IPC Global (%)</t>
  </si>
  <si>
    <t>Catégorie</t>
  </si>
  <si>
    <t>Variation vs mois préc.</t>
  </si>
  <si>
    <t>🟡 Modérée</t>
  </si>
  <si>
    <t>🟠 Élevée</t>
  </si>
  <si>
    <t>🟢 Faible</t>
  </si>
  <si>
    <t>🔴 Très élevée</t>
  </si>
  <si>
    <t>🟢 Vert = période d'analyse (2024+) | Inflation en moyenne glissante annuelle | Source : ONS Algérie, ville d'Alger</t>
  </si>
  <si>
    <t>🇩🇿  TAUX DE CHANGE DZD — BANQUE D'ALGÉRIE</t>
  </si>
  <si>
    <t>Source : Banque d'Algérie | 17 devises | Jan 2000 → Mai 2026 | Journalier</t>
  </si>
  <si>
    <t xml:space="preserve">  A. RÉSUMÉ DES PAIRES CLÉS — PÉRIODE D'ANALYSE (MARS 2025 → MAI 2026)</t>
  </si>
  <si>
    <t>Paire</t>
  </si>
  <si>
    <t>Valeur Début</t>
  </si>
  <si>
    <t>Valeur Actuelle</t>
  </si>
  <si>
    <t>Variation (%)</t>
  </si>
  <si>
    <t>Moyenne Période</t>
  </si>
  <si>
    <t>Min Période</t>
  </si>
  <si>
    <t>Max Période</t>
  </si>
  <si>
    <t>Moy 2024</t>
  </si>
  <si>
    <t>Impact sur actions BAA</t>
  </si>
  <si>
    <t>USD/DZD</t>
  </si>
  <si>
    <t>Impact direct sur pétrole/matières premières, ref internationale</t>
  </si>
  <si>
    <t>EUR/DZD</t>
  </si>
  <si>
    <t>BIO importe matières pharma en EUR → dépréciation DZD = coûts en hausse</t>
  </si>
  <si>
    <t>CAD/DZD</t>
  </si>
  <si>
    <t>Pertinent pour analyse marché Canada (NorthQuant)</t>
  </si>
  <si>
    <t>GBP/DZD</t>
  </si>
  <si>
    <t>Référence internationale secondaire</t>
  </si>
  <si>
    <t>CHF/DZD</t>
  </si>
  <si>
    <t>Valeur refuge, indicator stress macro</t>
  </si>
  <si>
    <t>💡  INSIGHT CHANGE : L'EUR/DZD a progressé de +7.0% sur la période (144.81 → 154.91 DZD). Pour BIOPHARM qui importe ses matières premières pharmaceutiques en EUR, cette dépréciation du dinar représente une pression sur les marges. Pour CPA et BDL (banques), l'exposition au change est moindre. USD/DZD quasi-stable sur la période (-0.17%) — cohérent avec la politique d'ancrage DZD.</t>
  </si>
  <si>
    <t xml:space="preserve">  B. TABLEAU COMPLET — 17 DEVISES (VALEURS ACTUELLES ET HISTORIQUES)</t>
  </si>
  <si>
    <t>Devise/DZD</t>
  </si>
  <si>
    <t>Moy 2023</t>
  </si>
  <si>
    <t>Moy 2022</t>
  </si>
  <si>
    <t>Var. 1 an (%)</t>
  </si>
  <si>
    <t>Var. Période Analyse (%)</t>
  </si>
  <si>
    <t>Nb Observations</t>
  </si>
  <si>
    <t>Début Données</t>
  </si>
  <si>
    <t>AED/DZD</t>
  </si>
  <si>
    <t>2000</t>
  </si>
  <si>
    <t>CNY/DZD</t>
  </si>
  <si>
    <t>2015</t>
  </si>
  <si>
    <t>DKK/DZD</t>
  </si>
  <si>
    <t>JPY/DZD</t>
  </si>
  <si>
    <t>KWD/DZD</t>
  </si>
  <si>
    <t>LYD/DZD</t>
  </si>
  <si>
    <t>MAD/DZD</t>
  </si>
  <si>
    <t>MRO/DZD</t>
  </si>
  <si>
    <t>N/D</t>
  </si>
  <si>
    <t>NOK/DZD</t>
  </si>
  <si>
    <t>SAR/DZD</t>
  </si>
  <si>
    <t>SEK/DZD</t>
  </si>
  <si>
    <t>TND/DZD</t>
  </si>
  <si>
    <t xml:space="preserve">  C. HISTORIQUE JOURNALIER — PAIRES CLÉS SUR PÉRIODE D'ANALYSE</t>
  </si>
  <si>
    <t>Var. USD/DZD</t>
  </si>
  <si>
    <t>Var. EUR/DZD</t>
  </si>
  <si>
    <t>🇩🇿  VOLUMES ET TRANSACTIONS — BOC SGBV 2026</t>
  </si>
  <si>
    <t>Source : Bulletins Officiels de la Cote SGBV | 63 séances | Janvier → Juillet 2026</t>
  </si>
  <si>
    <t xml:space="preserve">  A. RÉSUMÉ LIQUIDITÉ PAR ACTION (MAI-JUILLET 2026)</t>
  </si>
  <si>
    <t>Séances Actives</t>
  </si>
  <si>
    <t>% Séances avec tx</t>
  </si>
  <si>
    <t>Volume Total (titres)</t>
  </si>
  <si>
    <t>Valeur Totale (DZD)</t>
  </si>
  <si>
    <t>Valeur Moy/Séance (DZD)</t>
  </si>
  <si>
    <t>Nb Tx Total</t>
  </si>
  <si>
    <t>Tx Moy/Séance</t>
  </si>
  <si>
    <t>Cours Moyen (DZD)</t>
  </si>
  <si>
    <t xml:space="preserve">  B. DONNÉES JOURNALIÈRES — VOLUME PAR ACTION ET PAR SÉANCE</t>
  </si>
  <si>
    <t>BOC#</t>
  </si>
  <si>
    <t>ALL
Vol</t>
  </si>
  <si>
    <t>ALL
Val(DZD)</t>
  </si>
  <si>
    <t>ALL
Nb Tx</t>
  </si>
  <si>
    <t>AUR
Vol</t>
  </si>
  <si>
    <t>AUR
Val(DZD)</t>
  </si>
  <si>
    <t>AUR
Nb Tx</t>
  </si>
  <si>
    <t>BDL
Vol</t>
  </si>
  <si>
    <t>BDL
Val(DZD)</t>
  </si>
  <si>
    <t>BDL
Nb Tx</t>
  </si>
  <si>
    <t>BIO
Vol</t>
  </si>
  <si>
    <t>BIO
Val(DZD)</t>
  </si>
  <si>
    <t>BIO
Nb Tx</t>
  </si>
  <si>
    <t>CPA
Vol</t>
  </si>
  <si>
    <t>CPA
Val(DZD)</t>
  </si>
  <si>
    <t>CPA
Nb Tx</t>
  </si>
  <si>
    <t>SAI
Vol</t>
  </si>
  <si>
    <t>SAI
Val(DZD)</t>
  </si>
  <si>
    <t>SAI
Nb Tx</t>
  </si>
  <si>
    <t>AOM
Vol</t>
  </si>
  <si>
    <t>AOM
Val(DZD)</t>
  </si>
  <si>
    <t>AOM
Nb Tx</t>
  </si>
  <si>
    <t>MST
Vol</t>
  </si>
  <si>
    <t>MST
Val(DZD)</t>
  </si>
  <si>
    <t>MST
Nb Tx</t>
  </si>
  <si>
    <t>🇩🇿  DZAIRINDEX — INDICE OFFICIEL BOURSE D'ALGER</t>
  </si>
  <si>
    <t>Source : BOC SGBV | Base 1000 au 03/01/2008 | 63 séances | Janvier-Juillet 2026</t>
  </si>
  <si>
    <t>Date Séance</t>
  </si>
  <si>
    <t>DZAIRINDEX Clôture</t>
  </si>
  <si>
    <t>Variation Valeur</t>
  </si>
  <si>
    <t>Capitalisation (Mrd DZD)</t>
  </si>
  <si>
    <t>💡  Le DZAIRINDEX est passé de 3 845 (06/01/2026) à 3 839 (07/07/2026) soit -0.1% sur la période. La capitalisation totale a progressé de 747 Mrd à 744 Mrd DZD sur la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</si>
</sst>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d/mm/yyyy"/>
    <numFmt numFmtId="165" formatCode="#,##0&quot; DZD&quot;"/>
    <numFmt numFmtId="166" formatCode="0.00&quot; DA&quot;"/>
    <numFmt numFmtId="167" formatCode="0.000"/>
    <numFmt numFmtId="168" formatCode="0.0%"/>
    <numFmt numFmtId="169" formatCode="0.00&quot; Mrd&quot;"/>
    <numFmt numFmtId="170" formatCode="0.00&quot; DZD&quot;"/>
    <numFmt numFmtId="171" formatCode="0.0"/>
    <numFmt numFmtId="172" formatCode="\+0.00;\-0.00;0.00"/>
    <numFmt numFmtId="173" formatCode="0.000&quot; Mrd DZD&quot;"/>
  </numFmts>
  <fonts count="64" x14ac:knownFonts="1">
    <font>
      <sz val="11"/>
      <color theme="1"/>
      <name val="Calibri"/>
      <family val="2"/>
      <charset val="1"/>
    </font>
    <font>
      <b/>
      <sz val="16"/>
      <color rgb="FFE2E8F0"/>
      <name val="Arial"/>
      <charset val="1"/>
    </font>
    <font>
      <sz val="11"/>
      <color rgb="FF94A3B8"/>
      <name val="Arial"/>
      <charset val="1"/>
    </font>
    <font>
      <b/>
      <sz val="10"/>
      <color rgb="FFE2E8F0"/>
      <name val="Arial"/>
      <charset val="1"/>
    </font>
    <font>
      <sz val="9"/>
      <color rgb="FF64748B"/>
      <name val="Arial"/>
      <charset val="1"/>
    </font>
    <font>
      <sz val="10"/>
      <color rgb="FF1E293B"/>
      <name val="Arial"/>
      <charset val="1"/>
    </font>
    <font>
      <b/>
      <sz val="10"/>
      <color rgb="FF1E293B"/>
      <name val="Arial"/>
      <charset val="1"/>
    </font>
    <font>
      <b/>
      <sz val="11"/>
      <color rgb="FF00D4AA"/>
      <name val="Arial"/>
      <charset val="1"/>
    </font>
    <font>
      <sz val="10"/>
      <color rgb="FFCBD5E1"/>
      <name val="Arial"/>
      <charset val="1"/>
    </font>
    <font>
      <b/>
      <sz val="10"/>
      <color rgb="FF00D4AA"/>
      <name val="Arial"/>
      <charset val="1"/>
    </font>
    <font>
      <b/>
      <sz val="10"/>
      <color rgb="FFF59E0B"/>
      <name val="Arial"/>
      <charset val="1"/>
    </font>
    <font>
      <b/>
      <sz val="10"/>
      <color rgb="FF64748B"/>
      <name val="Arial"/>
      <charset val="1"/>
    </font>
    <font>
      <sz val="9"/>
      <color rgb="FF94A3B8"/>
      <name val="Arial"/>
      <charset val="1"/>
    </font>
    <font>
      <b/>
      <sz val="10"/>
      <color rgb="FFFFB347"/>
      <name val="Arial"/>
      <charset val="1"/>
    </font>
    <font>
      <b/>
      <sz val="10"/>
      <color rgb="FFF472B6"/>
      <name val="Arial"/>
      <charset val="1"/>
    </font>
    <font>
      <b/>
      <sz val="10"/>
      <color rgb="FF4ADE80"/>
      <name val="Arial"/>
      <charset val="1"/>
    </font>
    <font>
      <b/>
      <sz val="10"/>
      <color rgb="FF60A5FA"/>
      <name val="Arial"/>
      <charset val="1"/>
    </font>
    <font>
      <b/>
      <sz val="10"/>
      <color rgb="FFA78BFA"/>
      <name val="Arial"/>
      <charset val="1"/>
    </font>
    <font>
      <b/>
      <sz val="10"/>
      <color rgb="FF991B1B"/>
      <name val="Arial"/>
      <charset val="1"/>
    </font>
    <font>
      <sz val="10"/>
      <color rgb="FF94A3B8"/>
      <name val="Arial"/>
      <charset val="1"/>
    </font>
    <font>
      <b/>
      <sz val="10"/>
      <color rgb="FFF87171"/>
      <name val="Arial"/>
      <charset val="1"/>
    </font>
    <font>
      <b/>
      <sz val="10"/>
      <color rgb="FF94A3B8"/>
      <name val="Arial"/>
      <charset val="1"/>
    </font>
    <font>
      <b/>
      <sz val="10"/>
      <color rgb="FF4B5563"/>
      <name val="Arial"/>
      <charset val="1"/>
    </font>
    <font>
      <b/>
      <sz val="10"/>
      <color rgb="FF166534"/>
      <name val="Arial"/>
      <charset val="1"/>
    </font>
    <font>
      <i/>
      <sz val="9"/>
      <color rgb="FF64748B"/>
      <name val="Arial"/>
      <charset val="1"/>
    </font>
    <font>
      <b/>
      <i/>
      <sz val="9"/>
      <color rgb="FF4B5563"/>
      <name val="Arial"/>
      <charset val="1"/>
    </font>
    <font>
      <b/>
      <sz val="10"/>
      <color rgb="FFCBD5E1"/>
      <name val="Arial"/>
      <charset val="1"/>
    </font>
    <font>
      <b/>
      <i/>
      <sz val="9"/>
      <color rgb="FFD97706"/>
      <name val="Arial"/>
      <charset val="1"/>
    </font>
    <font>
      <b/>
      <sz val="9"/>
      <color rgb="FF4ADE80"/>
      <name val="Arial"/>
      <charset val="1"/>
    </font>
    <font>
      <sz val="10"/>
      <color rgb="FF4B5563"/>
      <name val="Arial"/>
      <charset val="1"/>
    </font>
    <font>
      <b/>
      <sz val="10"/>
      <color rgb="FF64B5F6"/>
      <name val="Arial"/>
      <charset val="1"/>
    </font>
    <font>
      <sz val="10"/>
      <color rgb="FF4ADE80"/>
      <name val="Arial"/>
      <charset val="1"/>
    </font>
    <font>
      <sz val="10"/>
      <color rgb="FF64748B"/>
      <name val="Arial"/>
      <charset val="1"/>
    </font>
    <font>
      <sz val="9"/>
      <color rgb="FFCBD5E1"/>
      <name val="Arial"/>
      <charset val="1"/>
    </font>
    <font>
      <sz val="9"/>
      <color rgb="FFF59E0B"/>
      <name val="Arial"/>
      <charset val="1"/>
    </font>
    <font>
      <sz val="10"/>
      <color rgb="FFF59E0B"/>
      <name val="Arial"/>
      <charset val="1"/>
    </font>
    <font>
      <b/>
      <sz val="10"/>
      <color rgb="FF6366F1"/>
      <name val="Arial"/>
      <charset val="1"/>
    </font>
    <font>
      <sz val="10"/>
      <color rgb="FFF87171"/>
      <name val="Arial"/>
      <charset val="1"/>
    </font>
    <font>
      <b/>
      <sz val="10"/>
      <color rgb="FFEF4444"/>
      <name val="Arial"/>
      <charset val="1"/>
    </font>
    <font>
      <b/>
      <sz val="10"/>
      <color rgb="FF10B981"/>
      <name val="Arial"/>
      <charset val="1"/>
    </font>
    <font>
      <b/>
      <sz val="10"/>
      <color rgb="FF8B5CF6"/>
      <name val="Arial"/>
      <charset val="1"/>
    </font>
    <font>
      <b/>
      <sz val="10"/>
      <color rgb="FFF97316"/>
      <name val="Arial"/>
      <charset val="1"/>
    </font>
    <font>
      <b/>
      <sz val="10"/>
      <color rgb="FF06B6D4"/>
      <name val="Arial"/>
      <charset val="1"/>
    </font>
    <font>
      <i/>
      <sz val="9"/>
      <color rgb="FFFCD34D"/>
      <name val="Arial"/>
      <charset val="1"/>
    </font>
    <font>
      <sz val="9"/>
      <color rgb="FF4B5563"/>
      <name val="Arial"/>
      <charset val="1"/>
    </font>
    <font>
      <b/>
      <sz val="11"/>
      <color rgb="FF4ADE80"/>
      <name val="Arial"/>
      <charset val="1"/>
    </font>
    <font>
      <b/>
      <sz val="11"/>
      <color rgb="FFF87171"/>
      <name val="Arial"/>
      <charset val="1"/>
    </font>
    <font>
      <sz val="9"/>
      <color rgb="FFF87171"/>
      <name val="Arial"/>
      <charset val="1"/>
    </font>
    <font>
      <sz val="9"/>
      <color rgb="FF4ADE80"/>
      <name val="Arial"/>
      <charset val="1"/>
    </font>
    <font>
      <sz val="10"/>
      <color rgb="FF00D4AA"/>
      <name val="Arial"/>
      <charset val="1"/>
    </font>
    <font>
      <sz val="10"/>
      <color rgb="FFEF4444"/>
      <name val="Arial"/>
      <charset val="1"/>
    </font>
    <font>
      <sz val="10"/>
      <color rgb="FF10B981"/>
      <name val="Arial"/>
      <charset val="1"/>
    </font>
    <font>
      <sz val="10"/>
      <color rgb="FF06B6D4"/>
      <name val="Arial"/>
      <charset val="1"/>
    </font>
    <font>
      <sz val="10"/>
      <color rgb="FFF472B6"/>
      <name val="Arial"/>
      <charset val="1"/>
    </font>
    <font>
      <sz val="10"/>
      <color rgb="FF60A5FA"/>
      <name val="Arial"/>
      <charset val="1"/>
    </font>
    <font>
      <sz val="10"/>
      <color rgb="FFA78BFA"/>
      <name val="Arial"/>
      <charset val="1"/>
    </font>
    <font>
      <sz val="10"/>
      <color rgb="FFFB923C"/>
      <name val="Arial"/>
      <charset val="1"/>
    </font>
    <font>
      <sz val="10"/>
      <color rgb="FF34D399"/>
      <name val="Arial"/>
      <charset val="1"/>
    </font>
    <font>
      <sz val="10"/>
      <color rgb="FFFBBF24"/>
      <name val="Arial"/>
      <charset val="1"/>
    </font>
    <font>
      <sz val="10"/>
      <color rgb="FFE879F9"/>
      <name val="Arial"/>
      <charset val="1"/>
    </font>
    <font>
      <b/>
      <sz val="10"/>
      <color rgb="FFFB923C"/>
      <name val="Arial"/>
      <charset val="1"/>
    </font>
    <font>
      <b/>
      <sz val="9"/>
      <color rgb="FFF59E0B"/>
      <name val="Arial"/>
      <charset val="1"/>
    </font>
    <font>
      <b/>
      <sz val="11"/>
      <color rgb="FFCBD5E1"/>
      <name val="Arial"/>
      <charset val="1"/>
    </font>
    <font>
      <b/>
      <sz val="11"/>
      <color rgb="FFF59E0B"/>
      <name val="Arial"/>
      <charset val="1"/>
    </font>
  </fonts>
  <fills count="33">
    <fill>
      <patternFill patternType="none"/>
    </fill>
    <fill>
      <patternFill patternType="gray125"/>
    </fill>
    <fill>
      <patternFill patternType="solid">
        <fgColor rgb="FF060A12"/>
        <bgColor rgb="FF0A0D14"/>
      </patternFill>
    </fill>
    <fill>
      <patternFill patternType="solid">
        <fgColor rgb="FF0D1117"/>
        <bgColor rgb="FF0A1020"/>
      </patternFill>
    </fill>
    <fill>
      <patternFill patternType="solid">
        <fgColor rgb="FFF8FAFC"/>
        <bgColor rgb="FFF0FDF4"/>
      </patternFill>
    </fill>
    <fill>
      <patternFill patternType="solid">
        <fgColor rgb="FF131A26"/>
        <bgColor rgb="FF0F1520"/>
      </patternFill>
    </fill>
    <fill>
      <patternFill patternType="solid">
        <fgColor rgb="FF0A1628"/>
        <bgColor rgb="FF0A1428"/>
      </patternFill>
    </fill>
    <fill>
      <patternFill patternType="solid">
        <fgColor rgb="FF1A0D00"/>
        <bgColor rgb="FF1A1000"/>
      </patternFill>
    </fill>
    <fill>
      <patternFill patternType="solid">
        <fgColor rgb="FF1A0A28"/>
        <bgColor rgb="FF1A1040"/>
      </patternFill>
    </fill>
    <fill>
      <patternFill patternType="solid">
        <fgColor rgb="FF0D1A10"/>
        <bgColor rgb="FF0D1A08"/>
      </patternFill>
    </fill>
    <fill>
      <patternFill patternType="solid">
        <fgColor rgb="FF0A1428"/>
        <bgColor rgb="FF0A1628"/>
      </patternFill>
    </fill>
    <fill>
      <patternFill patternType="solid">
        <fgColor rgb="FF0A1020"/>
        <bgColor rgb="FF0D1117"/>
      </patternFill>
    </fill>
    <fill>
      <patternFill patternType="solid">
        <fgColor rgb="FF2B0000"/>
        <bgColor rgb="FF2B0A0A"/>
      </patternFill>
    </fill>
    <fill>
      <patternFill patternType="solid">
        <fgColor rgb="FF002B10"/>
        <bgColor rgb="FF002B22"/>
      </patternFill>
    </fill>
    <fill>
      <patternFill patternType="solid">
        <fgColor rgb="FFFEE2E2"/>
        <bgColor rgb="FFFFF1F2"/>
      </patternFill>
    </fill>
    <fill>
      <patternFill patternType="solid">
        <fgColor rgb="FFFFF1F2"/>
        <bgColor rgb="FFF8FAFC"/>
      </patternFill>
    </fill>
    <fill>
      <patternFill patternType="solid">
        <fgColor rgb="FFF0FDF4"/>
        <bgColor rgb="FFF8FAFC"/>
      </patternFill>
    </fill>
    <fill>
      <patternFill patternType="solid">
        <fgColor rgb="FFDCFCE7"/>
        <bgColor rgb="FFF0FDF4"/>
      </patternFill>
    </fill>
    <fill>
      <patternFill patternType="solid">
        <fgColor rgb="FF0A0D14"/>
        <bgColor rgb="FF060A12"/>
      </patternFill>
    </fill>
    <fill>
      <patternFill patternType="solid">
        <fgColor rgb="FF0D1A08"/>
        <bgColor rgb="FF0D1A10"/>
      </patternFill>
    </fill>
    <fill>
      <patternFill patternType="solid">
        <fgColor rgb="FF002B22"/>
        <bgColor rgb="FF003020"/>
      </patternFill>
    </fill>
    <fill>
      <patternFill patternType="solid">
        <fgColor rgb="FF003020"/>
        <bgColor rgb="FF002B22"/>
      </patternFill>
    </fill>
    <fill>
      <patternFill patternType="solid">
        <fgColor rgb="FF0F1520"/>
        <bgColor rgb="FF0A1428"/>
      </patternFill>
    </fill>
    <fill>
      <patternFill patternType="solid">
        <fgColor rgb="FF1A0808"/>
        <bgColor rgb="FF1A0D00"/>
      </patternFill>
    </fill>
    <fill>
      <patternFill patternType="solid">
        <fgColor rgb="FF0A150A"/>
        <bgColor rgb="FF0D1A08"/>
      </patternFill>
    </fill>
    <fill>
      <patternFill patternType="solid">
        <fgColor rgb="FF2B0A0A"/>
        <bgColor rgb="FF2B0000"/>
      </patternFill>
    </fill>
    <fill>
      <patternFill patternType="solid">
        <fgColor rgb="FF2B1800"/>
        <bgColor rgb="FF1A1000"/>
      </patternFill>
    </fill>
    <fill>
      <patternFill patternType="solid">
        <fgColor rgb="FF1A1040"/>
        <bgColor rgb="FF1A0A28"/>
      </patternFill>
    </fill>
    <fill>
      <patternFill patternType="solid">
        <fgColor rgb="FF0A1A2B"/>
        <bgColor rgb="FF0A1628"/>
      </patternFill>
    </fill>
    <fill>
      <patternFill patternType="solid">
        <fgColor rgb="FF001A10"/>
        <bgColor rgb="FF001A14"/>
      </patternFill>
    </fill>
    <fill>
      <patternFill patternType="solid">
        <fgColor rgb="FF001A0A"/>
        <bgColor rgb="FF001A10"/>
      </patternFill>
    </fill>
    <fill>
      <patternFill patternType="solid">
        <fgColor rgb="FF1A1000"/>
        <bgColor rgb="FF1A0D00"/>
      </patternFill>
    </fill>
    <fill>
      <patternFill patternType="solid">
        <fgColor rgb="FF001A14"/>
        <bgColor rgb="FF001A10"/>
      </patternFill>
    </fill>
  </fills>
  <borders count="2">
    <border>
      <left/>
      <right/>
      <top/>
      <bottom/>
      <diagonal/>
    </border>
    <border>
      <left/>
      <right/>
      <top/>
      <bottom style="medium">
        <color rgb="FF00D4AA"/>
      </bottom>
      <diagonal/>
    </border>
  </borders>
  <cellStyleXfs count="1">
    <xf numFmtId="0" fontId="0" fillId="0" borderId="0"/>
  </cellStyleXfs>
  <cellXfs count="353">
    <xf numFmtId="0" fontId="0" fillId="0" borderId="0" xfId="0"/>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3" borderId="0" xfId="0" applyFont="1" applyFill="1" applyAlignment="1">
      <alignment horizontal="right" vertical="center"/>
    </xf>
    <xf numFmtId="0" fontId="4" fillId="3" borderId="0" xfId="0" applyFont="1" applyFill="1" applyAlignment="1">
      <alignment horizontal="center" vertical="center"/>
    </xf>
    <xf numFmtId="164" fontId="4" fillId="4" borderId="0" xfId="0" applyNumberFormat="1" applyFont="1" applyFill="1" applyAlignment="1">
      <alignment horizontal="center" vertical="center"/>
    </xf>
    <xf numFmtId="165" fontId="5" fillId="4" borderId="0" xfId="0" applyNumberFormat="1" applyFont="1" applyFill="1" applyAlignment="1">
      <alignment horizontal="right" vertical="center"/>
    </xf>
    <xf numFmtId="0" fontId="4" fillId="4" borderId="0" xfId="0" applyFont="1" applyFill="1" applyAlignment="1">
      <alignment horizontal="right" vertical="center"/>
    </xf>
    <xf numFmtId="164" fontId="4" fillId="0" borderId="0" xfId="0" applyNumberFormat="1" applyFont="1" applyAlignment="1">
      <alignment horizontal="center" vertical="center"/>
    </xf>
    <xf numFmtId="165" fontId="5" fillId="0" borderId="0" xfId="0" applyNumberFormat="1" applyFont="1" applyAlignment="1">
      <alignment horizontal="right" vertical="center"/>
    </xf>
    <xf numFmtId="0" fontId="4" fillId="0" borderId="0" xfId="0" applyFont="1" applyAlignment="1">
      <alignment horizontal="right" vertical="center"/>
    </xf>
    <xf numFmtId="0" fontId="6" fillId="5" borderId="0" xfId="0" applyFont="1" applyFill="1" applyAlignment="1">
      <alignment horizontal="left" vertical="center"/>
    </xf>
    <xf numFmtId="165" fontId="6" fillId="5" borderId="0" xfId="0" applyNumberFormat="1" applyFont="1" applyFill="1" applyAlignment="1">
      <alignment horizontal="right" vertical="center"/>
    </xf>
    <xf numFmtId="10" fontId="6" fillId="5" borderId="0" xfId="0" applyNumberFormat="1" applyFont="1" applyFill="1" applyAlignment="1">
      <alignment horizontal="right" vertical="center"/>
    </xf>
    <xf numFmtId="0" fontId="8" fillId="6" borderId="0" xfId="0" applyFont="1" applyFill="1" applyAlignment="1">
      <alignment horizontal="center" vertical="center"/>
    </xf>
    <xf numFmtId="0" fontId="9" fillId="6" borderId="0" xfId="0" applyFont="1" applyFill="1" applyAlignment="1">
      <alignment horizontal="right" vertical="center"/>
    </xf>
    <xf numFmtId="0" fontId="8" fillId="6" borderId="0" xfId="0" applyFont="1" applyFill="1" applyAlignment="1">
      <alignment horizontal="left" vertical="center"/>
    </xf>
    <xf numFmtId="164" fontId="8" fillId="6" borderId="0" xfId="0" applyNumberFormat="1" applyFont="1" applyFill="1" applyAlignment="1">
      <alignment horizontal="center" vertical="center"/>
    </xf>
    <xf numFmtId="166" fontId="10" fillId="6" borderId="0" xfId="0" applyNumberFormat="1" applyFont="1" applyFill="1" applyAlignment="1">
      <alignment horizontal="right" vertical="center"/>
    </xf>
    <xf numFmtId="0" fontId="11" fillId="6" borderId="0" xfId="0" applyFont="1" applyFill="1" applyAlignment="1">
      <alignment horizontal="center" vertical="center"/>
    </xf>
    <xf numFmtId="0" fontId="12" fillId="6" borderId="0" xfId="0" applyFont="1" applyFill="1" applyAlignment="1">
      <alignment horizontal="right" vertical="center"/>
    </xf>
    <xf numFmtId="0" fontId="8" fillId="7" borderId="0" xfId="0" applyFont="1" applyFill="1" applyAlignment="1">
      <alignment horizontal="center" vertical="center"/>
    </xf>
    <xf numFmtId="0" fontId="13" fillId="7" borderId="0" xfId="0" applyFont="1" applyFill="1" applyAlignment="1">
      <alignment horizontal="right" vertical="center"/>
    </xf>
    <xf numFmtId="0" fontId="8" fillId="7" borderId="0" xfId="0" applyFont="1" applyFill="1" applyAlignment="1">
      <alignment horizontal="left" vertical="center"/>
    </xf>
    <xf numFmtId="164" fontId="8" fillId="7" borderId="0" xfId="0" applyNumberFormat="1" applyFont="1" applyFill="1" applyAlignment="1">
      <alignment horizontal="center" vertical="center"/>
    </xf>
    <xf numFmtId="166" fontId="10" fillId="7" borderId="0" xfId="0" applyNumberFormat="1" applyFont="1" applyFill="1" applyAlignment="1">
      <alignment horizontal="right" vertical="center"/>
    </xf>
    <xf numFmtId="0" fontId="11" fillId="7" borderId="0" xfId="0" applyFont="1" applyFill="1" applyAlignment="1">
      <alignment horizontal="center" vertical="center"/>
    </xf>
    <xf numFmtId="0" fontId="12" fillId="7" borderId="0" xfId="0" applyFont="1" applyFill="1" applyAlignment="1">
      <alignment horizontal="right" vertical="center"/>
    </xf>
    <xf numFmtId="0" fontId="8" fillId="8" borderId="0" xfId="0" applyFont="1" applyFill="1" applyAlignment="1">
      <alignment horizontal="center" vertical="center"/>
    </xf>
    <xf numFmtId="0" fontId="14" fillId="8" borderId="0" xfId="0" applyFont="1" applyFill="1" applyAlignment="1">
      <alignment horizontal="right" vertical="center"/>
    </xf>
    <xf numFmtId="0" fontId="8" fillId="8" borderId="0" xfId="0" applyFont="1" applyFill="1" applyAlignment="1">
      <alignment horizontal="left" vertical="center"/>
    </xf>
    <xf numFmtId="164" fontId="8" fillId="8" borderId="0" xfId="0" applyNumberFormat="1" applyFont="1" applyFill="1" applyAlignment="1">
      <alignment horizontal="center" vertical="center"/>
    </xf>
    <xf numFmtId="166" fontId="10" fillId="8" borderId="0" xfId="0" applyNumberFormat="1" applyFont="1" applyFill="1" applyAlignment="1">
      <alignment horizontal="right" vertical="center"/>
    </xf>
    <xf numFmtId="0" fontId="15" fillId="8" borderId="0" xfId="0" applyFont="1" applyFill="1" applyAlignment="1">
      <alignment horizontal="center" vertical="center"/>
    </xf>
    <xf numFmtId="0" fontId="12" fillId="8" borderId="0" xfId="0" applyFont="1" applyFill="1" applyAlignment="1">
      <alignment horizontal="right" vertical="center"/>
    </xf>
    <xf numFmtId="0" fontId="8" fillId="9" borderId="0" xfId="0" applyFont="1" applyFill="1" applyAlignment="1">
      <alignment horizontal="center" vertical="center"/>
    </xf>
    <xf numFmtId="0" fontId="15" fillId="9" borderId="0" xfId="0" applyFont="1" applyFill="1" applyAlignment="1">
      <alignment horizontal="right" vertical="center"/>
    </xf>
    <xf numFmtId="0" fontId="8" fillId="9" borderId="0" xfId="0" applyFont="1" applyFill="1" applyAlignment="1">
      <alignment horizontal="left" vertical="center"/>
    </xf>
    <xf numFmtId="164" fontId="8" fillId="9" borderId="0" xfId="0" applyNumberFormat="1" applyFont="1" applyFill="1" applyAlignment="1">
      <alignment horizontal="center" vertical="center"/>
    </xf>
    <xf numFmtId="166" fontId="10" fillId="9" borderId="0" xfId="0" applyNumberFormat="1" applyFont="1" applyFill="1" applyAlignment="1">
      <alignment horizontal="right" vertical="center"/>
    </xf>
    <xf numFmtId="0" fontId="11" fillId="9" borderId="0" xfId="0" applyFont="1" applyFill="1" applyAlignment="1">
      <alignment horizontal="center" vertical="center"/>
    </xf>
    <xf numFmtId="0" fontId="12" fillId="9" borderId="0" xfId="0" applyFont="1" applyFill="1" applyAlignment="1">
      <alignment horizontal="right" vertical="center"/>
    </xf>
    <xf numFmtId="0" fontId="15" fillId="9" borderId="0" xfId="0" applyFont="1" applyFill="1" applyAlignment="1">
      <alignment horizontal="center" vertical="center"/>
    </xf>
    <xf numFmtId="0" fontId="8" fillId="10" borderId="0" xfId="0" applyFont="1" applyFill="1" applyAlignment="1">
      <alignment horizontal="center" vertical="center"/>
    </xf>
    <xf numFmtId="0" fontId="16" fillId="10" borderId="0" xfId="0" applyFont="1" applyFill="1" applyAlignment="1">
      <alignment horizontal="right" vertical="center"/>
    </xf>
    <xf numFmtId="0" fontId="8" fillId="10" borderId="0" xfId="0" applyFont="1" applyFill="1" applyAlignment="1">
      <alignment horizontal="left" vertical="center"/>
    </xf>
    <xf numFmtId="164" fontId="8" fillId="10" borderId="0" xfId="0" applyNumberFormat="1" applyFont="1" applyFill="1" applyAlignment="1">
      <alignment horizontal="center" vertical="center"/>
    </xf>
    <xf numFmtId="166" fontId="10" fillId="10" borderId="0" xfId="0" applyNumberFormat="1" applyFont="1" applyFill="1" applyAlignment="1">
      <alignment horizontal="right" vertical="center"/>
    </xf>
    <xf numFmtId="0" fontId="11" fillId="10" borderId="0" xfId="0" applyFont="1" applyFill="1" applyAlignment="1">
      <alignment horizontal="center" vertical="center"/>
    </xf>
    <xf numFmtId="0" fontId="12" fillId="10" borderId="0" xfId="0" applyFont="1" applyFill="1" applyAlignment="1">
      <alignment horizontal="right" vertical="center"/>
    </xf>
    <xf numFmtId="0" fontId="8" fillId="11" borderId="0" xfId="0" applyFont="1" applyFill="1" applyAlignment="1">
      <alignment horizontal="center" vertical="center"/>
    </xf>
    <xf numFmtId="0" fontId="17" fillId="11" borderId="0" xfId="0" applyFont="1" applyFill="1" applyAlignment="1">
      <alignment horizontal="right" vertical="center"/>
    </xf>
    <xf numFmtId="0" fontId="8" fillId="11" borderId="0" xfId="0" applyFont="1" applyFill="1" applyAlignment="1">
      <alignment horizontal="left" vertical="center"/>
    </xf>
    <xf numFmtId="164" fontId="8" fillId="11" borderId="0" xfId="0" applyNumberFormat="1" applyFont="1" applyFill="1" applyAlignment="1">
      <alignment horizontal="center" vertical="center"/>
    </xf>
    <xf numFmtId="166" fontId="10" fillId="11" borderId="0" xfId="0" applyNumberFormat="1" applyFont="1" applyFill="1" applyAlignment="1">
      <alignment horizontal="right" vertical="center"/>
    </xf>
    <xf numFmtId="0" fontId="11" fillId="11" borderId="0" xfId="0" applyFont="1" applyFill="1" applyAlignment="1">
      <alignment horizontal="center" vertical="center"/>
    </xf>
    <xf numFmtId="0" fontId="12" fillId="11" borderId="0" xfId="0" applyFont="1" applyFill="1" applyAlignment="1">
      <alignment horizontal="right" vertical="center"/>
    </xf>
    <xf numFmtId="0" fontId="15" fillId="11" borderId="0" xfId="0" applyFont="1" applyFill="1" applyAlignment="1">
      <alignment horizontal="center" vertical="center"/>
    </xf>
    <xf numFmtId="0" fontId="9" fillId="3" borderId="0" xfId="0" applyFont="1" applyFill="1" applyAlignment="1">
      <alignment horizontal="center" vertical="center"/>
    </xf>
    <xf numFmtId="0" fontId="8" fillId="3" borderId="0" xfId="0" applyFont="1" applyFill="1" applyAlignment="1">
      <alignment horizontal="left" vertical="center"/>
    </xf>
    <xf numFmtId="165" fontId="8" fillId="3" borderId="0" xfId="0" applyNumberFormat="1" applyFont="1" applyFill="1" applyAlignment="1">
      <alignment horizontal="right" vertical="center"/>
    </xf>
    <xf numFmtId="10" fontId="18" fillId="3" borderId="0" xfId="0" applyNumberFormat="1" applyFont="1" applyFill="1" applyAlignment="1">
      <alignment horizontal="right" vertical="center"/>
    </xf>
    <xf numFmtId="166" fontId="19" fillId="3" borderId="0" xfId="0" applyNumberFormat="1" applyFont="1" applyFill="1" applyAlignment="1">
      <alignment horizontal="right" vertical="center"/>
    </xf>
    <xf numFmtId="166" fontId="10" fillId="3" borderId="0" xfId="0" applyNumberFormat="1" applyFont="1" applyFill="1" applyAlignment="1">
      <alignment horizontal="right" vertical="center"/>
    </xf>
    <xf numFmtId="10" fontId="15" fillId="3" borderId="0" xfId="0" applyNumberFormat="1" applyFont="1" applyFill="1" applyAlignment="1">
      <alignment horizontal="right" vertical="center"/>
    </xf>
    <xf numFmtId="10" fontId="20" fillId="12" borderId="0" xfId="0" applyNumberFormat="1" applyFont="1" applyFill="1" applyAlignment="1">
      <alignment horizontal="right" vertical="center"/>
    </xf>
    <xf numFmtId="0" fontId="21" fillId="5" borderId="0" xfId="0" applyFont="1" applyFill="1" applyAlignment="1">
      <alignment horizontal="center" vertical="center"/>
    </xf>
    <xf numFmtId="0" fontId="8" fillId="5" borderId="0" xfId="0" applyFont="1" applyFill="1" applyAlignment="1">
      <alignment horizontal="left" vertical="center"/>
    </xf>
    <xf numFmtId="165" fontId="8" fillId="5" borderId="0" xfId="0" applyNumberFormat="1" applyFont="1" applyFill="1" applyAlignment="1">
      <alignment horizontal="right" vertical="center"/>
    </xf>
    <xf numFmtId="10" fontId="18" fillId="5" borderId="0" xfId="0" applyNumberFormat="1" applyFont="1" applyFill="1" applyAlignment="1">
      <alignment horizontal="right" vertical="center"/>
    </xf>
    <xf numFmtId="166" fontId="19" fillId="5" borderId="0" xfId="0" applyNumberFormat="1" applyFont="1" applyFill="1" applyAlignment="1">
      <alignment horizontal="right" vertical="center"/>
    </xf>
    <xf numFmtId="166" fontId="22" fillId="5" borderId="0" xfId="0" applyNumberFormat="1" applyFont="1" applyFill="1" applyAlignment="1">
      <alignment horizontal="right" vertical="center"/>
    </xf>
    <xf numFmtId="10" fontId="22" fillId="5" borderId="0" xfId="0" applyNumberFormat="1" applyFont="1" applyFill="1" applyAlignment="1">
      <alignment horizontal="right" vertical="center"/>
    </xf>
    <xf numFmtId="0" fontId="14" fillId="3" borderId="0" xfId="0" applyFont="1" applyFill="1" applyAlignment="1">
      <alignment horizontal="center" vertical="center"/>
    </xf>
    <xf numFmtId="10" fontId="15" fillId="13" borderId="0" xfId="0" applyNumberFormat="1" applyFont="1" applyFill="1" applyAlignment="1">
      <alignment horizontal="right" vertical="center"/>
    </xf>
    <xf numFmtId="0" fontId="15" fillId="5" borderId="0" xfId="0" applyFont="1" applyFill="1" applyAlignment="1">
      <alignment horizontal="center" vertical="center"/>
    </xf>
    <xf numFmtId="10" fontId="23" fillId="5" borderId="0" xfId="0" applyNumberFormat="1" applyFont="1" applyFill="1" applyAlignment="1">
      <alignment horizontal="right" vertical="center"/>
    </xf>
    <xf numFmtId="166" fontId="10" fillId="5" borderId="0" xfId="0" applyNumberFormat="1" applyFont="1" applyFill="1" applyAlignment="1">
      <alignment horizontal="right" vertical="center"/>
    </xf>
    <xf numFmtId="10" fontId="15" fillId="5" borderId="0" xfId="0" applyNumberFormat="1" applyFont="1" applyFill="1" applyAlignment="1">
      <alignment horizontal="right" vertical="center"/>
    </xf>
    <xf numFmtId="0" fontId="16" fillId="3" borderId="0" xfId="0" applyFont="1" applyFill="1" applyAlignment="1">
      <alignment horizontal="center" vertical="center"/>
    </xf>
    <xf numFmtId="0" fontId="13" fillId="5" borderId="0" xfId="0" applyFont="1" applyFill="1" applyAlignment="1">
      <alignment horizontal="center" vertical="center"/>
    </xf>
    <xf numFmtId="0" fontId="21" fillId="3" borderId="0" xfId="0" applyFont="1" applyFill="1" applyAlignment="1">
      <alignment horizontal="center" vertical="center"/>
    </xf>
    <xf numFmtId="10" fontId="23" fillId="3" borderId="0" xfId="0" applyNumberFormat="1" applyFont="1" applyFill="1" applyAlignment="1">
      <alignment horizontal="right" vertical="center"/>
    </xf>
    <xf numFmtId="166" fontId="22" fillId="3" borderId="0" xfId="0" applyNumberFormat="1" applyFont="1" applyFill="1" applyAlignment="1">
      <alignment horizontal="right" vertical="center"/>
    </xf>
    <xf numFmtId="10" fontId="22" fillId="3" borderId="0" xfId="0" applyNumberFormat="1" applyFont="1" applyFill="1" applyAlignment="1">
      <alignment horizontal="right" vertical="center"/>
    </xf>
    <xf numFmtId="0" fontId="17" fillId="5" borderId="0" xfId="0" applyFont="1" applyFill="1" applyAlignment="1">
      <alignment horizontal="center" vertical="center"/>
    </xf>
    <xf numFmtId="10" fontId="4" fillId="4" borderId="0" xfId="0" applyNumberFormat="1" applyFont="1" applyFill="1" applyAlignment="1">
      <alignment horizontal="right" vertical="center"/>
    </xf>
    <xf numFmtId="10" fontId="4" fillId="0" borderId="0" xfId="0" applyNumberFormat="1" applyFont="1" applyAlignment="1">
      <alignment horizontal="right" vertical="center"/>
    </xf>
    <xf numFmtId="10" fontId="18" fillId="14" borderId="0" xfId="0" applyNumberFormat="1" applyFont="1" applyFill="1" applyAlignment="1">
      <alignment horizontal="right" vertical="center"/>
    </xf>
    <xf numFmtId="10" fontId="18" fillId="15" borderId="0" xfId="0" applyNumberFormat="1" applyFont="1" applyFill="1" applyAlignment="1">
      <alignment horizontal="right" vertical="center"/>
    </xf>
    <xf numFmtId="10" fontId="23" fillId="16" borderId="0" xfId="0" applyNumberFormat="1" applyFont="1" applyFill="1" applyAlignment="1">
      <alignment horizontal="right" vertical="center"/>
    </xf>
    <xf numFmtId="10" fontId="23" fillId="17" borderId="0" xfId="0" applyNumberFormat="1" applyFont="1" applyFill="1" applyAlignment="1">
      <alignment horizontal="right" vertical="center"/>
    </xf>
    <xf numFmtId="0" fontId="3" fillId="3" borderId="1" xfId="0" applyFont="1" applyFill="1" applyBorder="1" applyAlignment="1">
      <alignment horizontal="left" vertical="center"/>
    </xf>
    <xf numFmtId="0" fontId="25" fillId="18" borderId="0" xfId="0" applyFont="1" applyFill="1" applyAlignment="1">
      <alignment horizontal="left" vertical="center"/>
    </xf>
    <xf numFmtId="0" fontId="0" fillId="18" borderId="0" xfId="0" applyFill="1"/>
    <xf numFmtId="0" fontId="26" fillId="5" borderId="0" xfId="0" applyFont="1" applyFill="1" applyAlignment="1">
      <alignment horizontal="left" vertical="center"/>
    </xf>
    <xf numFmtId="165" fontId="19" fillId="5" borderId="0" xfId="0" applyNumberFormat="1" applyFont="1" applyFill="1" applyAlignment="1">
      <alignment horizontal="right" vertical="center"/>
    </xf>
    <xf numFmtId="10" fontId="20" fillId="5" borderId="0" xfId="0" applyNumberFormat="1" applyFont="1" applyFill="1" applyAlignment="1">
      <alignment horizontal="right" vertical="center"/>
    </xf>
    <xf numFmtId="0" fontId="27" fillId="18" borderId="0" xfId="0" applyFont="1" applyFill="1" applyAlignment="1">
      <alignment horizontal="left" vertical="center"/>
    </xf>
    <xf numFmtId="0" fontId="10" fillId="19" borderId="0" xfId="0" applyFont="1" applyFill="1" applyAlignment="1">
      <alignment horizontal="left" vertical="center"/>
    </xf>
    <xf numFmtId="166" fontId="10" fillId="19" borderId="0" xfId="0" applyNumberFormat="1" applyFont="1" applyFill="1" applyAlignment="1">
      <alignment horizontal="right" vertical="center"/>
    </xf>
    <xf numFmtId="166" fontId="22" fillId="19" borderId="0" xfId="0" applyNumberFormat="1" applyFont="1" applyFill="1" applyAlignment="1">
      <alignment horizontal="right" vertical="center"/>
    </xf>
    <xf numFmtId="0" fontId="10" fillId="20" borderId="0" xfId="0" applyFont="1" applyFill="1" applyAlignment="1">
      <alignment horizontal="left" vertical="center"/>
    </xf>
    <xf numFmtId="166" fontId="10" fillId="20" borderId="0" xfId="0" applyNumberFormat="1" applyFont="1" applyFill="1" applyAlignment="1">
      <alignment horizontal="right" vertical="center"/>
    </xf>
    <xf numFmtId="166" fontId="22" fillId="20" borderId="0" xfId="0" applyNumberFormat="1" applyFont="1" applyFill="1" applyAlignment="1">
      <alignment horizontal="right" vertical="center"/>
    </xf>
    <xf numFmtId="10" fontId="10" fillId="20" borderId="0" xfId="0" applyNumberFormat="1" applyFont="1" applyFill="1" applyAlignment="1">
      <alignment horizontal="right" vertical="center"/>
    </xf>
    <xf numFmtId="10" fontId="22" fillId="20" borderId="0" xfId="0" applyNumberFormat="1" applyFont="1" applyFill="1" applyAlignment="1">
      <alignment horizontal="right" vertical="center"/>
    </xf>
    <xf numFmtId="0" fontId="28" fillId="21" borderId="0" xfId="0" applyFont="1" applyFill="1" applyAlignment="1">
      <alignment horizontal="left" vertical="center"/>
    </xf>
    <xf numFmtId="0" fontId="0" fillId="21" borderId="0" xfId="0" applyFill="1"/>
    <xf numFmtId="0" fontId="26" fillId="22" borderId="0" xfId="0" applyFont="1" applyFill="1" applyAlignment="1">
      <alignment horizontal="left" vertical="center"/>
    </xf>
    <xf numFmtId="10" fontId="20" fillId="22" borderId="0" xfId="0" applyNumberFormat="1" applyFont="1" applyFill="1" applyAlignment="1">
      <alignment horizontal="right" vertical="center"/>
    </xf>
    <xf numFmtId="10" fontId="15" fillId="22" borderId="0" xfId="0" applyNumberFormat="1" applyFont="1" applyFill="1" applyAlignment="1">
      <alignment horizontal="right" vertical="center"/>
    </xf>
    <xf numFmtId="10" fontId="19" fillId="22" borderId="0" xfId="0" applyNumberFormat="1" applyFont="1" applyFill="1" applyAlignment="1">
      <alignment horizontal="right" vertical="center"/>
    </xf>
    <xf numFmtId="167" fontId="20" fillId="22" borderId="0" xfId="0" applyNumberFormat="1" applyFont="1" applyFill="1" applyAlignment="1">
      <alignment horizontal="right" vertical="center"/>
    </xf>
    <xf numFmtId="167" fontId="15" fillId="22" borderId="0" xfId="0" applyNumberFormat="1" applyFont="1" applyFill="1" applyAlignment="1">
      <alignment horizontal="right" vertical="center"/>
    </xf>
    <xf numFmtId="0" fontId="26" fillId="23" borderId="0" xfId="0" applyFont="1" applyFill="1" applyAlignment="1">
      <alignment horizontal="left" vertical="center"/>
    </xf>
    <xf numFmtId="10" fontId="20" fillId="23" borderId="0" xfId="0" applyNumberFormat="1" applyFont="1" applyFill="1" applyAlignment="1">
      <alignment horizontal="right" vertical="center"/>
    </xf>
    <xf numFmtId="10" fontId="15" fillId="23" borderId="0" xfId="0" applyNumberFormat="1" applyFont="1" applyFill="1" applyAlignment="1">
      <alignment horizontal="right" vertical="center"/>
    </xf>
    <xf numFmtId="0" fontId="26" fillId="24" borderId="0" xfId="0" applyFont="1" applyFill="1" applyAlignment="1">
      <alignment horizontal="left" vertical="center"/>
    </xf>
    <xf numFmtId="10" fontId="15" fillId="24" borderId="0" xfId="0" applyNumberFormat="1" applyFont="1" applyFill="1" applyAlignment="1">
      <alignment horizontal="right" vertical="center"/>
    </xf>
    <xf numFmtId="10" fontId="20" fillId="24" borderId="0" xfId="0" applyNumberFormat="1" applyFont="1" applyFill="1" applyAlignment="1">
      <alignment horizontal="right" vertical="center"/>
    </xf>
    <xf numFmtId="0" fontId="26" fillId="3" borderId="0" xfId="0" applyFont="1" applyFill="1" applyAlignment="1">
      <alignment horizontal="left" vertical="center"/>
    </xf>
    <xf numFmtId="3" fontId="19" fillId="3" borderId="0" xfId="0" applyNumberFormat="1" applyFont="1" applyFill="1" applyAlignment="1">
      <alignment horizontal="right" vertical="center"/>
    </xf>
    <xf numFmtId="0" fontId="10" fillId="3" borderId="0" xfId="0" applyFont="1" applyFill="1" applyAlignment="1">
      <alignment horizontal="left" vertical="center"/>
    </xf>
    <xf numFmtId="3" fontId="10" fillId="3" borderId="0" xfId="0" applyNumberFormat="1" applyFont="1" applyFill="1" applyAlignment="1">
      <alignment horizontal="right" vertical="center"/>
    </xf>
    <xf numFmtId="3" fontId="22" fillId="3" borderId="0" xfId="0" applyNumberFormat="1" applyFont="1" applyFill="1" applyAlignment="1">
      <alignment horizontal="right" vertical="center"/>
    </xf>
    <xf numFmtId="0" fontId="9" fillId="20" borderId="0" xfId="0" applyFont="1" applyFill="1" applyAlignment="1">
      <alignment horizontal="left" vertical="center"/>
    </xf>
    <xf numFmtId="168" fontId="29" fillId="20" borderId="0" xfId="0" applyNumberFormat="1" applyFont="1" applyFill="1" applyAlignment="1">
      <alignment horizontal="right" vertical="center"/>
    </xf>
    <xf numFmtId="168" fontId="9" fillId="20" borderId="0" xfId="0" applyNumberFormat="1" applyFont="1" applyFill="1" applyAlignment="1">
      <alignment horizontal="right" vertical="center"/>
    </xf>
    <xf numFmtId="168" fontId="15" fillId="20" borderId="0" xfId="0" applyNumberFormat="1" applyFont="1" applyFill="1" applyAlignment="1">
      <alignment horizontal="center" vertical="center"/>
    </xf>
    <xf numFmtId="0" fontId="20" fillId="25" borderId="0" xfId="0" applyFont="1" applyFill="1" applyAlignment="1">
      <alignment horizontal="left" vertical="center"/>
    </xf>
    <xf numFmtId="168" fontId="20" fillId="25" borderId="0" xfId="0" applyNumberFormat="1" applyFont="1" applyFill="1" applyAlignment="1">
      <alignment horizontal="right" vertical="center"/>
    </xf>
    <xf numFmtId="168" fontId="29" fillId="25" borderId="0" xfId="0" applyNumberFormat="1" applyFont="1" applyFill="1" applyAlignment="1">
      <alignment horizontal="right" vertical="center"/>
    </xf>
    <xf numFmtId="168" fontId="15" fillId="25" borderId="0" xfId="0" applyNumberFormat="1" applyFont="1" applyFill="1" applyAlignment="1">
      <alignment horizontal="center" vertical="center"/>
    </xf>
    <xf numFmtId="0" fontId="13" fillId="26" borderId="0" xfId="0" applyFont="1" applyFill="1" applyAlignment="1">
      <alignment horizontal="left" vertical="center"/>
    </xf>
    <xf numFmtId="168" fontId="29" fillId="26" borderId="0" xfId="0" applyNumberFormat="1" applyFont="1" applyFill="1" applyAlignment="1">
      <alignment horizontal="right" vertical="center"/>
    </xf>
    <xf numFmtId="168" fontId="13" fillId="26" borderId="0" xfId="0" applyNumberFormat="1" applyFont="1" applyFill="1" applyAlignment="1">
      <alignment horizontal="right" vertical="center"/>
    </xf>
    <xf numFmtId="168" fontId="15" fillId="26" borderId="0" xfId="0" applyNumberFormat="1" applyFont="1" applyFill="1" applyAlignment="1">
      <alignment horizontal="center" vertical="center"/>
    </xf>
    <xf numFmtId="0" fontId="17" fillId="27" borderId="0" xfId="0" applyFont="1" applyFill="1" applyAlignment="1">
      <alignment horizontal="left" vertical="center"/>
    </xf>
    <xf numFmtId="168" fontId="29" fillId="27" borderId="0" xfId="0" applyNumberFormat="1" applyFont="1" applyFill="1" applyAlignment="1">
      <alignment horizontal="right" vertical="center"/>
    </xf>
    <xf numFmtId="168" fontId="17" fillId="27" borderId="0" xfId="0" applyNumberFormat="1" applyFont="1" applyFill="1" applyAlignment="1">
      <alignment horizontal="right" vertical="center"/>
    </xf>
    <xf numFmtId="168" fontId="15" fillId="27" borderId="0" xfId="0" applyNumberFormat="1" applyFont="1" applyFill="1" applyAlignment="1">
      <alignment horizontal="center" vertical="center"/>
    </xf>
    <xf numFmtId="0" fontId="30" fillId="28" borderId="0" xfId="0" applyFont="1" applyFill="1" applyAlignment="1">
      <alignment horizontal="left" vertical="center"/>
    </xf>
    <xf numFmtId="168" fontId="30" fillId="28" borderId="0" xfId="0" applyNumberFormat="1" applyFont="1" applyFill="1" applyAlignment="1">
      <alignment horizontal="right" vertical="center"/>
    </xf>
    <xf numFmtId="168" fontId="15" fillId="28" borderId="0" xfId="0" applyNumberFormat="1" applyFont="1" applyFill="1" applyAlignment="1">
      <alignment horizontal="center" vertical="center"/>
    </xf>
    <xf numFmtId="10" fontId="15" fillId="20" borderId="0" xfId="0" applyNumberFormat="1" applyFont="1" applyFill="1" applyAlignment="1">
      <alignment horizontal="right" vertical="center"/>
    </xf>
    <xf numFmtId="10" fontId="21" fillId="20" borderId="0" xfId="0" applyNumberFormat="1" applyFont="1" applyFill="1" applyAlignment="1">
      <alignment horizontal="right" vertical="center"/>
    </xf>
    <xf numFmtId="167" fontId="15" fillId="20" borderId="0" xfId="0" applyNumberFormat="1" applyFont="1" applyFill="1" applyAlignment="1">
      <alignment horizontal="right" vertical="center"/>
    </xf>
    <xf numFmtId="10" fontId="21" fillId="25" borderId="0" xfId="0" applyNumberFormat="1" applyFont="1" applyFill="1" applyAlignment="1">
      <alignment horizontal="right" vertical="center"/>
    </xf>
    <xf numFmtId="167" fontId="21" fillId="25" borderId="0" xfId="0" applyNumberFormat="1" applyFont="1" applyFill="1" applyAlignment="1">
      <alignment horizontal="right" vertical="center"/>
    </xf>
    <xf numFmtId="10" fontId="15" fillId="25" borderId="0" xfId="0" applyNumberFormat="1" applyFont="1" applyFill="1" applyAlignment="1">
      <alignment horizontal="right" vertical="center"/>
    </xf>
    <xf numFmtId="10" fontId="20" fillId="25" borderId="0" xfId="0" applyNumberFormat="1" applyFont="1" applyFill="1" applyAlignment="1">
      <alignment horizontal="right" vertical="center"/>
    </xf>
    <xf numFmtId="10" fontId="15" fillId="26" borderId="0" xfId="0" applyNumberFormat="1" applyFont="1" applyFill="1" applyAlignment="1">
      <alignment horizontal="right" vertical="center"/>
    </xf>
    <xf numFmtId="10" fontId="21" fillId="26" borderId="0" xfId="0" applyNumberFormat="1" applyFont="1" applyFill="1" applyAlignment="1">
      <alignment horizontal="right" vertical="center"/>
    </xf>
    <xf numFmtId="167" fontId="15" fillId="26" borderId="0" xfId="0" applyNumberFormat="1" applyFont="1" applyFill="1" applyAlignment="1">
      <alignment horizontal="right" vertical="center"/>
    </xf>
    <xf numFmtId="10" fontId="20" fillId="26" borderId="0" xfId="0" applyNumberFormat="1" applyFont="1" applyFill="1" applyAlignment="1">
      <alignment horizontal="right" vertical="center"/>
    </xf>
    <xf numFmtId="10" fontId="21" fillId="27" borderId="0" xfId="0" applyNumberFormat="1" applyFont="1" applyFill="1" applyAlignment="1">
      <alignment horizontal="right" vertical="center"/>
    </xf>
    <xf numFmtId="167" fontId="21" fillId="27" borderId="0" xfId="0" applyNumberFormat="1" applyFont="1" applyFill="1" applyAlignment="1">
      <alignment horizontal="right" vertical="center"/>
    </xf>
    <xf numFmtId="10" fontId="15" fillId="27" borderId="0" xfId="0" applyNumberFormat="1" applyFont="1" applyFill="1" applyAlignment="1">
      <alignment horizontal="right" vertical="center"/>
    </xf>
    <xf numFmtId="10" fontId="21" fillId="28" borderId="0" xfId="0" applyNumberFormat="1" applyFont="1" applyFill="1" applyAlignment="1">
      <alignment horizontal="right" vertical="center"/>
    </xf>
    <xf numFmtId="167" fontId="21" fillId="28" borderId="0" xfId="0" applyNumberFormat="1" applyFont="1" applyFill="1" applyAlignment="1">
      <alignment horizontal="right" vertical="center"/>
    </xf>
    <xf numFmtId="10" fontId="15" fillId="28" borderId="0" xfId="0" applyNumberFormat="1" applyFont="1" applyFill="1" applyAlignment="1">
      <alignment horizontal="right" vertical="center"/>
    </xf>
    <xf numFmtId="2" fontId="9" fillId="20" borderId="0" xfId="0" applyNumberFormat="1" applyFont="1" applyFill="1" applyAlignment="1">
      <alignment horizontal="center" vertical="center"/>
    </xf>
    <xf numFmtId="2" fontId="19" fillId="3" borderId="0" xfId="0" applyNumberFormat="1" applyFont="1" applyFill="1" applyAlignment="1">
      <alignment horizontal="center" vertical="center"/>
    </xf>
    <xf numFmtId="2" fontId="31" fillId="29" borderId="0" xfId="0" applyNumberFormat="1" applyFont="1" applyFill="1" applyAlignment="1">
      <alignment horizontal="center" vertical="center"/>
    </xf>
    <xf numFmtId="0" fontId="15" fillId="3" borderId="0" xfId="0" applyFont="1" applyFill="1" applyAlignment="1">
      <alignment horizontal="center" vertical="center"/>
    </xf>
    <xf numFmtId="0" fontId="26" fillId="20" borderId="0" xfId="0" applyFont="1" applyFill="1" applyAlignment="1">
      <alignment horizontal="left" vertical="center"/>
    </xf>
    <xf numFmtId="0" fontId="15" fillId="20" borderId="0" xfId="0" applyFont="1" applyFill="1" applyAlignment="1">
      <alignment horizontal="center" vertical="center"/>
    </xf>
    <xf numFmtId="0" fontId="8" fillId="13" borderId="0" xfId="0" applyFont="1" applyFill="1" applyAlignment="1">
      <alignment horizontal="center" vertical="center"/>
    </xf>
    <xf numFmtId="0" fontId="31" fillId="13" borderId="0" xfId="0" applyFont="1" applyFill="1" applyAlignment="1">
      <alignment horizontal="center" vertical="center"/>
    </xf>
    <xf numFmtId="0" fontId="19" fillId="13" borderId="0" xfId="0" applyFont="1" applyFill="1" applyAlignment="1">
      <alignment horizontal="center" vertical="center"/>
    </xf>
    <xf numFmtId="0" fontId="29" fillId="13" borderId="0" xfId="0" applyFont="1" applyFill="1" applyAlignment="1">
      <alignment horizontal="center" vertical="center"/>
    </xf>
    <xf numFmtId="0" fontId="32" fillId="13" borderId="0" xfId="0" applyFont="1" applyFill="1" applyAlignment="1">
      <alignment horizontal="center" vertical="center"/>
    </xf>
    <xf numFmtId="0" fontId="8" fillId="30" borderId="0" xfId="0" applyFont="1" applyFill="1" applyAlignment="1">
      <alignment horizontal="center" vertical="center"/>
    </xf>
    <xf numFmtId="0" fontId="31" fillId="30" borderId="0" xfId="0" applyFont="1" applyFill="1" applyAlignment="1">
      <alignment horizontal="center" vertical="center"/>
    </xf>
    <xf numFmtId="0" fontId="19" fillId="30" borderId="0" xfId="0" applyFont="1" applyFill="1" applyAlignment="1">
      <alignment horizontal="center" vertical="center"/>
    </xf>
    <xf numFmtId="0" fontId="29" fillId="30" borderId="0" xfId="0" applyFont="1" applyFill="1" applyAlignment="1">
      <alignment horizontal="center" vertical="center"/>
    </xf>
    <xf numFmtId="0" fontId="32" fillId="30" borderId="0" xfId="0" applyFont="1" applyFill="1" applyAlignment="1">
      <alignment horizontal="center" vertical="center"/>
    </xf>
    <xf numFmtId="0" fontId="26" fillId="27" borderId="0" xfId="0" applyFont="1" applyFill="1" applyAlignment="1">
      <alignment horizontal="center" vertical="center"/>
    </xf>
    <xf numFmtId="0" fontId="15" fillId="27" borderId="0" xfId="0" applyFont="1" applyFill="1" applyAlignment="1">
      <alignment horizontal="center" vertical="center"/>
    </xf>
    <xf numFmtId="0" fontId="21" fillId="27" borderId="0" xfId="0" applyFont="1" applyFill="1" applyAlignment="1">
      <alignment horizontal="center" vertical="center"/>
    </xf>
    <xf numFmtId="0" fontId="20" fillId="27" borderId="0" xfId="0" applyFont="1" applyFill="1" applyAlignment="1">
      <alignment horizontal="center" vertical="center"/>
    </xf>
    <xf numFmtId="0" fontId="33" fillId="3" borderId="0" xfId="0" applyFont="1" applyFill="1" applyAlignment="1">
      <alignment horizontal="center" vertical="center"/>
    </xf>
    <xf numFmtId="0" fontId="12" fillId="3" borderId="0" xfId="0" applyFont="1" applyFill="1" applyAlignment="1">
      <alignment horizontal="center" vertical="center"/>
    </xf>
    <xf numFmtId="0" fontId="33" fillId="5" borderId="0" xfId="0" applyFont="1" applyFill="1" applyAlignment="1">
      <alignment horizontal="center" vertical="center"/>
    </xf>
    <xf numFmtId="0" fontId="12" fillId="5" borderId="0" xfId="0" applyFont="1" applyFill="1" applyAlignment="1">
      <alignment horizontal="center" vertical="center"/>
    </xf>
    <xf numFmtId="0" fontId="33" fillId="27" borderId="0" xfId="0" applyFont="1" applyFill="1" applyAlignment="1">
      <alignment horizontal="center" vertical="center"/>
    </xf>
    <xf numFmtId="0" fontId="34" fillId="27" borderId="0" xfId="0" applyFont="1" applyFill="1" applyAlignment="1">
      <alignment horizontal="center" vertical="center"/>
    </xf>
    <xf numFmtId="0" fontId="12" fillId="27" borderId="0" xfId="0" applyFont="1" applyFill="1" applyAlignment="1">
      <alignment horizontal="center" vertical="center"/>
    </xf>
    <xf numFmtId="0" fontId="26" fillId="20" borderId="0" xfId="0" applyFont="1" applyFill="1" applyAlignment="1">
      <alignment horizontal="center" vertical="center"/>
    </xf>
    <xf numFmtId="0" fontId="31" fillId="20" borderId="0" xfId="0" applyFont="1" applyFill="1" applyAlignment="1">
      <alignment horizontal="center" vertical="center"/>
    </xf>
    <xf numFmtId="0" fontId="9" fillId="20" borderId="0" xfId="0" applyFont="1" applyFill="1" applyAlignment="1">
      <alignment horizontal="center" vertical="center"/>
    </xf>
    <xf numFmtId="0" fontId="8" fillId="20" borderId="0" xfId="0" applyFont="1" applyFill="1" applyAlignment="1">
      <alignment horizontal="left" vertical="center"/>
    </xf>
    <xf numFmtId="0" fontId="32" fillId="20" borderId="0" xfId="0" applyFont="1" applyFill="1" applyAlignment="1">
      <alignment horizontal="left" vertical="center"/>
    </xf>
    <xf numFmtId="165" fontId="35" fillId="20" borderId="0" xfId="0" applyNumberFormat="1" applyFont="1" applyFill="1" applyAlignment="1">
      <alignment horizontal="right" vertical="center"/>
    </xf>
    <xf numFmtId="169" fontId="10" fillId="20" borderId="0" xfId="0" applyNumberFormat="1" applyFont="1" applyFill="1" applyAlignment="1">
      <alignment horizontal="right" vertical="center"/>
    </xf>
    <xf numFmtId="10" fontId="31" fillId="20" borderId="0" xfId="0" applyNumberFormat="1" applyFont="1" applyFill="1" applyAlignment="1">
      <alignment horizontal="right" vertical="center"/>
    </xf>
    <xf numFmtId="169" fontId="19" fillId="20" borderId="0" xfId="0" applyNumberFormat="1" applyFont="1" applyFill="1" applyAlignment="1">
      <alignment horizontal="right" vertical="center"/>
    </xf>
    <xf numFmtId="0" fontId="36" fillId="5" borderId="0" xfId="0" applyFont="1" applyFill="1" applyAlignment="1">
      <alignment horizontal="center" vertical="center"/>
    </xf>
    <xf numFmtId="0" fontId="32" fillId="5" borderId="0" xfId="0" applyFont="1" applyFill="1" applyAlignment="1">
      <alignment horizontal="left" vertical="center"/>
    </xf>
    <xf numFmtId="165" fontId="35" fillId="5" borderId="0" xfId="0" applyNumberFormat="1" applyFont="1" applyFill="1" applyAlignment="1">
      <alignment horizontal="right" vertical="center"/>
    </xf>
    <xf numFmtId="169" fontId="10" fillId="5" borderId="0" xfId="0" applyNumberFormat="1" applyFont="1" applyFill="1" applyAlignment="1">
      <alignment horizontal="right" vertical="center"/>
    </xf>
    <xf numFmtId="10" fontId="31" fillId="5" borderId="0" xfId="0" applyNumberFormat="1" applyFont="1" applyFill="1" applyAlignment="1">
      <alignment horizontal="right" vertical="center"/>
    </xf>
    <xf numFmtId="169" fontId="19" fillId="5" borderId="0" xfId="0" applyNumberFormat="1" applyFont="1" applyFill="1" applyAlignment="1">
      <alignment horizontal="right" vertical="center"/>
    </xf>
    <xf numFmtId="10" fontId="37" fillId="5" borderId="0" xfId="0" applyNumberFormat="1" applyFont="1" applyFill="1" applyAlignment="1">
      <alignment horizontal="right" vertical="center"/>
    </xf>
    <xf numFmtId="0" fontId="10" fillId="3" borderId="0" xfId="0" applyFont="1" applyFill="1" applyAlignment="1">
      <alignment horizontal="center" vertical="center"/>
    </xf>
    <xf numFmtId="0" fontId="32" fillId="3" borderId="0" xfId="0" applyFont="1" applyFill="1" applyAlignment="1">
      <alignment horizontal="left" vertical="center"/>
    </xf>
    <xf numFmtId="165" fontId="35" fillId="3" borderId="0" xfId="0" applyNumberFormat="1" applyFont="1" applyFill="1" applyAlignment="1">
      <alignment horizontal="right" vertical="center"/>
    </xf>
    <xf numFmtId="169" fontId="10" fillId="3" borderId="0" xfId="0" applyNumberFormat="1" applyFont="1" applyFill="1" applyAlignment="1">
      <alignment horizontal="right" vertical="center"/>
    </xf>
    <xf numFmtId="10" fontId="8" fillId="3" borderId="0" xfId="0" applyNumberFormat="1" applyFont="1" applyFill="1" applyAlignment="1">
      <alignment horizontal="right" vertical="center"/>
    </xf>
    <xf numFmtId="169" fontId="19" fillId="3" borderId="0" xfId="0" applyNumberFormat="1" applyFont="1" applyFill="1" applyAlignment="1">
      <alignment horizontal="right" vertical="center"/>
    </xf>
    <xf numFmtId="10" fontId="31" fillId="3" borderId="0" xfId="0" applyNumberFormat="1" applyFont="1" applyFill="1" applyAlignment="1">
      <alignment horizontal="right" vertical="center"/>
    </xf>
    <xf numFmtId="0" fontId="38" fillId="5" borderId="0" xfId="0" applyFont="1" applyFill="1" applyAlignment="1">
      <alignment horizontal="center" vertical="center"/>
    </xf>
    <xf numFmtId="10" fontId="8" fillId="5" borderId="0" xfId="0" applyNumberFormat="1" applyFont="1" applyFill="1" applyAlignment="1">
      <alignment horizontal="right" vertical="center"/>
    </xf>
    <xf numFmtId="0" fontId="39" fillId="3" borderId="0" xfId="0" applyFont="1" applyFill="1" applyAlignment="1">
      <alignment horizontal="center" vertical="center"/>
    </xf>
    <xf numFmtId="0" fontId="40" fillId="5" borderId="0" xfId="0" applyFont="1" applyFill="1" applyAlignment="1">
      <alignment horizontal="center" vertical="center"/>
    </xf>
    <xf numFmtId="0" fontId="41" fillId="3" borderId="0" xfId="0" applyFont="1" applyFill="1" applyAlignment="1">
      <alignment horizontal="center" vertical="center"/>
    </xf>
    <xf numFmtId="10" fontId="37" fillId="3" borderId="0" xfId="0" applyNumberFormat="1" applyFont="1" applyFill="1" applyAlignment="1">
      <alignment horizontal="right" vertical="center"/>
    </xf>
    <xf numFmtId="0" fontId="42" fillId="5" borderId="0" xfId="0" applyFont="1" applyFill="1" applyAlignment="1">
      <alignment horizontal="center" vertical="center"/>
    </xf>
    <xf numFmtId="165" fontId="15" fillId="20" borderId="0" xfId="0" applyNumberFormat="1" applyFont="1" applyFill="1"/>
    <xf numFmtId="169" fontId="15" fillId="20" borderId="0" xfId="0" applyNumberFormat="1" applyFont="1" applyFill="1"/>
    <xf numFmtId="10" fontId="15" fillId="20" borderId="0" xfId="0" applyNumberFormat="1" applyFont="1" applyFill="1"/>
    <xf numFmtId="0" fontId="0" fillId="20" borderId="0" xfId="0" applyFill="1"/>
    <xf numFmtId="164" fontId="4" fillId="3" borderId="0" xfId="0" applyNumberFormat="1" applyFont="1" applyFill="1" applyAlignment="1">
      <alignment horizontal="center" vertical="center"/>
    </xf>
    <xf numFmtId="169" fontId="33" fillId="3" borderId="0" xfId="0" applyNumberFormat="1" applyFont="1" applyFill="1" applyAlignment="1">
      <alignment horizontal="right" vertical="center"/>
    </xf>
    <xf numFmtId="0" fontId="44" fillId="3" borderId="0" xfId="0" applyFont="1" applyFill="1" applyAlignment="1">
      <alignment horizontal="right" vertical="center"/>
    </xf>
    <xf numFmtId="169" fontId="28" fillId="3" borderId="0" xfId="0" applyNumberFormat="1" applyFont="1" applyFill="1" applyAlignment="1">
      <alignment horizontal="right" vertical="center"/>
    </xf>
    <xf numFmtId="164" fontId="4" fillId="5" borderId="0" xfId="0" applyNumberFormat="1" applyFont="1" applyFill="1" applyAlignment="1">
      <alignment horizontal="center" vertical="center"/>
    </xf>
    <xf numFmtId="169" fontId="33" fillId="5" borderId="0" xfId="0" applyNumberFormat="1" applyFont="1" applyFill="1" applyAlignment="1">
      <alignment horizontal="right" vertical="center"/>
    </xf>
    <xf numFmtId="0" fontId="44" fillId="5" borderId="0" xfId="0" applyFont="1" applyFill="1" applyAlignment="1">
      <alignment horizontal="right" vertical="center"/>
    </xf>
    <xf numFmtId="169" fontId="28" fillId="5" borderId="0" xfId="0" applyNumberFormat="1" applyFont="1" applyFill="1" applyAlignment="1">
      <alignment horizontal="right" vertical="center"/>
    </xf>
    <xf numFmtId="0" fontId="45" fillId="3" borderId="0" xfId="0" applyFont="1" applyFill="1" applyAlignment="1">
      <alignment horizontal="center" vertical="center"/>
    </xf>
    <xf numFmtId="0" fontId="45" fillId="5" borderId="0" xfId="0" applyFont="1" applyFill="1" applyAlignment="1">
      <alignment horizontal="center" vertical="center"/>
    </xf>
    <xf numFmtId="0" fontId="15" fillId="20" borderId="0" xfId="0" applyFont="1" applyFill="1" applyAlignment="1">
      <alignment horizontal="left" vertical="center"/>
    </xf>
    <xf numFmtId="0" fontId="46" fillId="20" borderId="0" xfId="0" applyFont="1" applyFill="1" applyAlignment="1">
      <alignment horizontal="center" vertical="center"/>
    </xf>
    <xf numFmtId="0" fontId="45" fillId="20" borderId="0" xfId="0" applyFont="1" applyFill="1" applyAlignment="1">
      <alignment horizontal="center" vertical="center"/>
    </xf>
    <xf numFmtId="10" fontId="34" fillId="3" borderId="0" xfId="0" applyNumberFormat="1" applyFont="1" applyFill="1" applyAlignment="1">
      <alignment horizontal="center" vertical="center"/>
    </xf>
    <xf numFmtId="0" fontId="44" fillId="3" borderId="0" xfId="0" applyFont="1" applyFill="1" applyAlignment="1">
      <alignment horizontal="center" vertical="center"/>
    </xf>
    <xf numFmtId="10" fontId="47" fillId="5" borderId="0" xfId="0" applyNumberFormat="1" applyFont="1" applyFill="1" applyAlignment="1">
      <alignment horizontal="center" vertical="center"/>
    </xf>
    <xf numFmtId="10" fontId="47" fillId="3" borderId="0" xfId="0" applyNumberFormat="1" applyFont="1" applyFill="1" applyAlignment="1">
      <alignment horizontal="center" vertical="center"/>
    </xf>
    <xf numFmtId="10" fontId="48" fillId="5" borderId="0" xfId="0" applyNumberFormat="1" applyFont="1" applyFill="1" applyAlignment="1">
      <alignment horizontal="center" vertical="center"/>
    </xf>
    <xf numFmtId="10" fontId="48" fillId="3" borderId="0" xfId="0" applyNumberFormat="1" applyFont="1" applyFill="1" applyAlignment="1">
      <alignment horizontal="center" vertical="center"/>
    </xf>
    <xf numFmtId="10" fontId="34" fillId="5" borderId="0" xfId="0" applyNumberFormat="1" applyFont="1" applyFill="1" applyAlignment="1">
      <alignment horizontal="center" vertical="center"/>
    </xf>
    <xf numFmtId="10" fontId="20" fillId="20" borderId="0" xfId="0" applyNumberFormat="1" applyFont="1" applyFill="1" applyAlignment="1">
      <alignment horizontal="center" vertical="center"/>
    </xf>
    <xf numFmtId="0" fontId="8" fillId="20" borderId="0" xfId="0" applyFont="1" applyFill="1" applyAlignment="1">
      <alignment horizontal="center" vertical="center"/>
    </xf>
    <xf numFmtId="10" fontId="31" fillId="20" borderId="0" xfId="0" applyNumberFormat="1" applyFont="1" applyFill="1" applyAlignment="1">
      <alignment horizontal="center" vertical="center"/>
    </xf>
    <xf numFmtId="10" fontId="10" fillId="20" borderId="0" xfId="0" applyNumberFormat="1" applyFont="1" applyFill="1" applyAlignment="1">
      <alignment horizontal="center" vertical="center"/>
    </xf>
    <xf numFmtId="10" fontId="37" fillId="20" borderId="0" xfId="0" applyNumberFormat="1" applyFont="1" applyFill="1" applyAlignment="1">
      <alignment horizontal="center" vertical="center"/>
    </xf>
    <xf numFmtId="10" fontId="15" fillId="20" borderId="0" xfId="0" applyNumberFormat="1" applyFont="1" applyFill="1" applyAlignment="1">
      <alignment horizontal="center" vertical="center"/>
    </xf>
    <xf numFmtId="0" fontId="9" fillId="3" borderId="0" xfId="0" applyFont="1" applyFill="1" applyAlignment="1">
      <alignment horizontal="left" vertical="center"/>
    </xf>
    <xf numFmtId="170" fontId="26" fillId="3" borderId="0" xfId="0" applyNumberFormat="1" applyFont="1" applyFill="1" applyAlignment="1">
      <alignment horizontal="right" vertical="center"/>
    </xf>
    <xf numFmtId="170" fontId="8" fillId="3" borderId="0" xfId="0" applyNumberFormat="1" applyFont="1" applyFill="1" applyAlignment="1">
      <alignment horizontal="right" vertical="center"/>
    </xf>
    <xf numFmtId="170" fontId="19" fillId="3" borderId="0" xfId="0" applyNumberFormat="1" applyFont="1" applyFill="1" applyAlignment="1">
      <alignment horizontal="right" vertical="center"/>
    </xf>
    <xf numFmtId="170" fontId="32" fillId="3" borderId="0" xfId="0" applyNumberFormat="1" applyFont="1" applyFill="1" applyAlignment="1">
      <alignment horizontal="right" vertical="center"/>
    </xf>
    <xf numFmtId="0" fontId="4" fillId="3" borderId="0" xfId="0" applyFont="1" applyFill="1" applyAlignment="1">
      <alignment horizontal="left" vertical="center"/>
    </xf>
    <xf numFmtId="0" fontId="10" fillId="5" borderId="0" xfId="0" applyFont="1" applyFill="1" applyAlignment="1">
      <alignment horizontal="left" vertical="center"/>
    </xf>
    <xf numFmtId="170" fontId="26" fillId="5" borderId="0" xfId="0" applyNumberFormat="1" applyFont="1" applyFill="1" applyAlignment="1">
      <alignment horizontal="right" vertical="center"/>
    </xf>
    <xf numFmtId="170" fontId="8" fillId="5" borderId="0" xfId="0" applyNumberFormat="1" applyFont="1" applyFill="1" applyAlignment="1">
      <alignment horizontal="right" vertical="center"/>
    </xf>
    <xf numFmtId="170" fontId="19" fillId="5" borderId="0" xfId="0" applyNumberFormat="1" applyFont="1" applyFill="1" applyAlignment="1">
      <alignment horizontal="right" vertical="center"/>
    </xf>
    <xf numFmtId="170" fontId="32" fillId="5" borderId="0" xfId="0" applyNumberFormat="1" applyFont="1" applyFill="1" applyAlignment="1">
      <alignment horizontal="right" vertical="center"/>
    </xf>
    <xf numFmtId="0" fontId="4" fillId="5" borderId="0" xfId="0" applyFont="1" applyFill="1" applyAlignment="1">
      <alignment horizontal="left" vertical="center"/>
    </xf>
    <xf numFmtId="0" fontId="17" fillId="3" borderId="0" xfId="0" applyFont="1" applyFill="1" applyAlignment="1">
      <alignment horizontal="left" vertical="center"/>
    </xf>
    <xf numFmtId="0" fontId="30" fillId="5" borderId="0" xfId="0" applyFont="1" applyFill="1" applyAlignment="1">
      <alignment horizontal="left" vertical="center"/>
    </xf>
    <xf numFmtId="0" fontId="15" fillId="3" borderId="0" xfId="0" applyFont="1" applyFill="1" applyAlignment="1">
      <alignment horizontal="left" vertical="center"/>
    </xf>
    <xf numFmtId="0" fontId="49" fillId="3" borderId="0" xfId="0" applyFont="1" applyFill="1" applyAlignment="1">
      <alignment horizontal="left" vertical="center"/>
    </xf>
    <xf numFmtId="2" fontId="33" fillId="3" borderId="0" xfId="0" applyNumberFormat="1" applyFont="1" applyFill="1" applyAlignment="1">
      <alignment horizontal="right" vertical="center"/>
    </xf>
    <xf numFmtId="0" fontId="33" fillId="3" borderId="0" xfId="0" applyFont="1" applyFill="1" applyAlignment="1">
      <alignment horizontal="right" vertical="center"/>
    </xf>
    <xf numFmtId="0" fontId="36" fillId="20" borderId="0" xfId="0" applyFont="1" applyFill="1" applyAlignment="1">
      <alignment horizontal="left" vertical="center"/>
    </xf>
    <xf numFmtId="2" fontId="26" fillId="20" borderId="0" xfId="0" applyNumberFormat="1" applyFont="1" applyFill="1" applyAlignment="1">
      <alignment horizontal="right" vertical="center"/>
    </xf>
    <xf numFmtId="0" fontId="26" fillId="20" borderId="0" xfId="0" applyFont="1" applyFill="1" applyAlignment="1">
      <alignment horizontal="right" vertical="center"/>
    </xf>
    <xf numFmtId="0" fontId="50" fillId="5" borderId="0" xfId="0" applyFont="1" applyFill="1" applyAlignment="1">
      <alignment horizontal="left" vertical="center"/>
    </xf>
    <xf numFmtId="2" fontId="33" fillId="5" borderId="0" xfId="0" applyNumberFormat="1" applyFont="1" applyFill="1" applyAlignment="1">
      <alignment horizontal="right" vertical="center"/>
    </xf>
    <xf numFmtId="0" fontId="33" fillId="5" borderId="0" xfId="0" applyFont="1" applyFill="1" applyAlignment="1">
      <alignment horizontal="right" vertical="center"/>
    </xf>
    <xf numFmtId="0" fontId="51" fillId="3" borderId="0" xfId="0" applyFont="1" applyFill="1" applyAlignment="1">
      <alignment horizontal="left" vertical="center"/>
    </xf>
    <xf numFmtId="0" fontId="40" fillId="20" borderId="0" xfId="0" applyFont="1" applyFill="1" applyAlignment="1">
      <alignment horizontal="left" vertical="center"/>
    </xf>
    <xf numFmtId="0" fontId="41" fillId="20" borderId="0" xfId="0" applyFont="1" applyFill="1" applyAlignment="1">
      <alignment horizontal="left" vertical="center"/>
    </xf>
    <xf numFmtId="0" fontId="52" fillId="5" borderId="0" xfId="0" applyFont="1" applyFill="1" applyAlignment="1">
      <alignment horizontal="left" vertical="center"/>
    </xf>
    <xf numFmtId="0" fontId="53" fillId="3" borderId="0" xfId="0" applyFont="1" applyFill="1" applyAlignment="1">
      <alignment horizontal="left" vertical="center"/>
    </xf>
    <xf numFmtId="0" fontId="31" fillId="5" borderId="0" xfId="0" applyFont="1" applyFill="1" applyAlignment="1">
      <alignment horizontal="left" vertical="center"/>
    </xf>
    <xf numFmtId="0" fontId="54" fillId="3" borderId="0" xfId="0" applyFont="1" applyFill="1" applyAlignment="1">
      <alignment horizontal="left" vertical="center"/>
    </xf>
    <xf numFmtId="0" fontId="55" fillId="5" borderId="0" xfId="0" applyFont="1" applyFill="1" applyAlignment="1">
      <alignment horizontal="left" vertical="center"/>
    </xf>
    <xf numFmtId="0" fontId="56" fillId="3" borderId="0" xfId="0" applyFont="1" applyFill="1" applyAlignment="1">
      <alignment horizontal="left" vertical="center"/>
    </xf>
    <xf numFmtId="0" fontId="57" fillId="5" borderId="0" xfId="0" applyFont="1" applyFill="1" applyAlignment="1">
      <alignment horizontal="left" vertical="center"/>
    </xf>
    <xf numFmtId="0" fontId="58" fillId="3" borderId="0" xfId="0" applyFont="1" applyFill="1" applyAlignment="1">
      <alignment horizontal="left" vertical="center"/>
    </xf>
    <xf numFmtId="0" fontId="59" fillId="5" borderId="0" xfId="0" applyFont="1" applyFill="1" applyAlignment="1">
      <alignment horizontal="left" vertical="center"/>
    </xf>
    <xf numFmtId="0" fontId="30" fillId="20" borderId="0" xfId="0" applyFont="1" applyFill="1" applyAlignment="1">
      <alignment horizontal="left" vertical="center"/>
    </xf>
    <xf numFmtId="10" fontId="20" fillId="20" borderId="0" xfId="0" applyNumberFormat="1" applyFont="1" applyFill="1" applyAlignment="1">
      <alignment horizontal="right" vertical="center"/>
    </xf>
    <xf numFmtId="10" fontId="48" fillId="5" borderId="0" xfId="0" applyNumberFormat="1" applyFont="1" applyFill="1" applyAlignment="1">
      <alignment horizontal="right" vertical="center"/>
    </xf>
    <xf numFmtId="10" fontId="47" fillId="5" borderId="0" xfId="0" applyNumberFormat="1" applyFont="1" applyFill="1" applyAlignment="1">
      <alignment horizontal="right" vertical="center"/>
    </xf>
    <xf numFmtId="10" fontId="47" fillId="3" borderId="0" xfId="0" applyNumberFormat="1" applyFont="1" applyFill="1" applyAlignment="1">
      <alignment horizontal="right" vertical="center"/>
    </xf>
    <xf numFmtId="10" fontId="48" fillId="3" borderId="0" xfId="0" applyNumberFormat="1" applyFont="1" applyFill="1" applyAlignment="1">
      <alignment horizontal="right" vertical="center"/>
    </xf>
    <xf numFmtId="3" fontId="15" fillId="3" borderId="0" xfId="0" applyNumberFormat="1" applyFont="1" applyFill="1" applyAlignment="1">
      <alignment horizontal="right" vertical="center"/>
    </xf>
    <xf numFmtId="168" fontId="10" fillId="3" borderId="0" xfId="0" applyNumberFormat="1" applyFont="1" applyFill="1" applyAlignment="1">
      <alignment horizontal="right" vertical="center"/>
    </xf>
    <xf numFmtId="3" fontId="8" fillId="3" borderId="0" xfId="0" applyNumberFormat="1" applyFont="1" applyFill="1" applyAlignment="1">
      <alignment horizontal="right" vertical="center"/>
    </xf>
    <xf numFmtId="171" fontId="8" fillId="3" borderId="0" xfId="0" applyNumberFormat="1" applyFont="1" applyFill="1" applyAlignment="1">
      <alignment horizontal="right" vertical="center"/>
    </xf>
    <xf numFmtId="0" fontId="8" fillId="3" borderId="0" xfId="0" applyFont="1" applyFill="1" applyAlignment="1">
      <alignment horizontal="right" vertical="center"/>
    </xf>
    <xf numFmtId="0" fontId="60" fillId="23" borderId="0" xfId="0" applyFont="1" applyFill="1" applyAlignment="1">
      <alignment horizontal="center" vertical="center"/>
    </xf>
    <xf numFmtId="0" fontId="8" fillId="23" borderId="0" xfId="0" applyFont="1" applyFill="1" applyAlignment="1">
      <alignment horizontal="left" vertical="center"/>
    </xf>
    <xf numFmtId="3" fontId="20" fillId="23" borderId="0" xfId="0" applyNumberFormat="1" applyFont="1" applyFill="1" applyAlignment="1">
      <alignment horizontal="right" vertical="center"/>
    </xf>
    <xf numFmtId="168" fontId="20" fillId="23" borderId="0" xfId="0" applyNumberFormat="1" applyFont="1" applyFill="1" applyAlignment="1">
      <alignment horizontal="right" vertical="center"/>
    </xf>
    <xf numFmtId="3" fontId="8" fillId="23" borderId="0" xfId="0" applyNumberFormat="1" applyFont="1" applyFill="1" applyAlignment="1">
      <alignment horizontal="right" vertical="center"/>
    </xf>
    <xf numFmtId="165" fontId="8" fillId="23" borderId="0" xfId="0" applyNumberFormat="1" applyFont="1" applyFill="1" applyAlignment="1">
      <alignment horizontal="right" vertical="center"/>
    </xf>
    <xf numFmtId="171" fontId="8" fillId="23" borderId="0" xfId="0" applyNumberFormat="1" applyFont="1" applyFill="1" applyAlignment="1">
      <alignment horizontal="right" vertical="center"/>
    </xf>
    <xf numFmtId="0" fontId="8" fillId="23" borderId="0" xfId="0" applyFont="1" applyFill="1" applyAlignment="1">
      <alignment horizontal="right" vertical="center"/>
    </xf>
    <xf numFmtId="0" fontId="10" fillId="20" borderId="0" xfId="0" applyFont="1" applyFill="1" applyAlignment="1">
      <alignment horizontal="center" vertical="center"/>
    </xf>
    <xf numFmtId="3" fontId="15" fillId="20" borderId="0" xfId="0" applyNumberFormat="1" applyFont="1" applyFill="1" applyAlignment="1">
      <alignment horizontal="right" vertical="center"/>
    </xf>
    <xf numFmtId="168" fontId="15" fillId="20" borderId="0" xfId="0" applyNumberFormat="1" applyFont="1" applyFill="1" applyAlignment="1">
      <alignment horizontal="right" vertical="center"/>
    </xf>
    <xf numFmtId="3" fontId="8" fillId="20" borderId="0" xfId="0" applyNumberFormat="1" applyFont="1" applyFill="1" applyAlignment="1">
      <alignment horizontal="right" vertical="center"/>
    </xf>
    <xf numFmtId="165" fontId="8" fillId="20" borderId="0" xfId="0" applyNumberFormat="1" applyFont="1" applyFill="1" applyAlignment="1">
      <alignment horizontal="right" vertical="center"/>
    </xf>
    <xf numFmtId="171" fontId="8" fillId="20" borderId="0" xfId="0" applyNumberFormat="1" applyFont="1" applyFill="1" applyAlignment="1">
      <alignment horizontal="right" vertical="center"/>
    </xf>
    <xf numFmtId="0" fontId="8" fillId="20" borderId="0" xfId="0" applyFont="1" applyFill="1" applyAlignment="1">
      <alignment horizontal="right" vertical="center"/>
    </xf>
    <xf numFmtId="0" fontId="16" fillId="20" borderId="0" xfId="0" applyFont="1" applyFill="1" applyAlignment="1">
      <alignment horizontal="center" vertical="center"/>
    </xf>
    <xf numFmtId="0" fontId="36" fillId="23" borderId="0" xfId="0" applyFont="1" applyFill="1" applyAlignment="1">
      <alignment horizontal="center" vertical="center"/>
    </xf>
    <xf numFmtId="0" fontId="17" fillId="3" borderId="0" xfId="0" applyFont="1" applyFill="1" applyAlignment="1">
      <alignment horizontal="center" vertical="center"/>
    </xf>
    <xf numFmtId="0" fontId="61" fillId="20" borderId="0" xfId="0" applyFont="1" applyFill="1" applyAlignment="1">
      <alignment horizontal="center" vertical="center"/>
    </xf>
    <xf numFmtId="164" fontId="33" fillId="20" borderId="0" xfId="0" applyNumberFormat="1" applyFont="1" applyFill="1" applyAlignment="1">
      <alignment horizontal="center" vertical="center"/>
    </xf>
    <xf numFmtId="0" fontId="44" fillId="20" borderId="0" xfId="0" applyFont="1" applyFill="1" applyAlignment="1">
      <alignment horizontal="center" vertical="center"/>
    </xf>
    <xf numFmtId="3" fontId="28" fillId="20" borderId="0" xfId="0" applyNumberFormat="1" applyFont="1" applyFill="1" applyAlignment="1">
      <alignment horizontal="right" vertical="center"/>
    </xf>
    <xf numFmtId="165" fontId="28" fillId="20" borderId="0" xfId="0" applyNumberFormat="1" applyFont="1" applyFill="1" applyAlignment="1">
      <alignment horizontal="right" vertical="center"/>
    </xf>
    <xf numFmtId="0" fontId="61" fillId="32" borderId="0" xfId="0" applyFont="1" applyFill="1" applyAlignment="1">
      <alignment horizontal="center" vertical="center"/>
    </xf>
    <xf numFmtId="164" fontId="33" fillId="32" borderId="0" xfId="0" applyNumberFormat="1" applyFont="1" applyFill="1" applyAlignment="1">
      <alignment horizontal="center" vertical="center"/>
    </xf>
    <xf numFmtId="0" fontId="44" fillId="32" borderId="0" xfId="0" applyFont="1" applyFill="1" applyAlignment="1">
      <alignment horizontal="center" vertical="center"/>
    </xf>
    <xf numFmtId="3" fontId="28" fillId="32" borderId="0" xfId="0" applyNumberFormat="1" applyFont="1" applyFill="1" applyAlignment="1">
      <alignment horizontal="right" vertical="center"/>
    </xf>
    <xf numFmtId="165" fontId="28" fillId="32" borderId="0" xfId="0" applyNumberFormat="1" applyFont="1" applyFill="1" applyAlignment="1">
      <alignment horizontal="right" vertical="center"/>
    </xf>
    <xf numFmtId="164" fontId="8" fillId="3" borderId="0" xfId="0" applyNumberFormat="1" applyFont="1" applyFill="1" applyAlignment="1">
      <alignment horizontal="center" vertical="center"/>
    </xf>
    <xf numFmtId="2" fontId="62" fillId="3" borderId="0" xfId="0" applyNumberFormat="1" applyFont="1" applyFill="1" applyAlignment="1">
      <alignment horizontal="right" vertical="center"/>
    </xf>
    <xf numFmtId="172" fontId="15" fillId="3" borderId="0" xfId="0" applyNumberFormat="1" applyFont="1" applyFill="1" applyAlignment="1">
      <alignment horizontal="right" vertical="center"/>
    </xf>
    <xf numFmtId="173" fontId="19" fillId="3" borderId="0" xfId="0" applyNumberFormat="1" applyFont="1" applyFill="1" applyAlignment="1">
      <alignment horizontal="right" vertical="center"/>
    </xf>
    <xf numFmtId="0" fontId="10" fillId="5" borderId="0" xfId="0" applyFont="1" applyFill="1" applyAlignment="1">
      <alignment horizontal="center" vertical="center"/>
    </xf>
    <xf numFmtId="164" fontId="8" fillId="5" borderId="0" xfId="0" applyNumberFormat="1" applyFont="1" applyFill="1" applyAlignment="1">
      <alignment horizontal="center" vertical="center"/>
    </xf>
    <xf numFmtId="2" fontId="62" fillId="5" borderId="0" xfId="0" applyNumberFormat="1" applyFont="1" applyFill="1" applyAlignment="1">
      <alignment horizontal="right" vertical="center"/>
    </xf>
    <xf numFmtId="172" fontId="15" fillId="5" borderId="0" xfId="0" applyNumberFormat="1" applyFont="1" applyFill="1" applyAlignment="1">
      <alignment horizontal="right" vertical="center"/>
    </xf>
    <xf numFmtId="173" fontId="19" fillId="5" borderId="0" xfId="0" applyNumberFormat="1" applyFont="1" applyFill="1" applyAlignment="1">
      <alignment horizontal="right" vertical="center"/>
    </xf>
    <xf numFmtId="172" fontId="20" fillId="3" borderId="0" xfId="0" applyNumberFormat="1" applyFont="1" applyFill="1" applyAlignment="1">
      <alignment horizontal="right" vertical="center"/>
    </xf>
    <xf numFmtId="172" fontId="20" fillId="5" borderId="0" xfId="0" applyNumberFormat="1" applyFont="1" applyFill="1" applyAlignment="1">
      <alignment horizontal="right" vertical="center"/>
    </xf>
    <xf numFmtId="164" fontId="8" fillId="20" borderId="0" xfId="0" applyNumberFormat="1" applyFont="1" applyFill="1" applyAlignment="1">
      <alignment horizontal="center" vertical="center"/>
    </xf>
    <xf numFmtId="2" fontId="63" fillId="20" borderId="0" xfId="0" applyNumberFormat="1" applyFont="1" applyFill="1" applyAlignment="1">
      <alignment horizontal="right" vertical="center"/>
    </xf>
    <xf numFmtId="172" fontId="15" fillId="20" borderId="0" xfId="0" applyNumberFormat="1" applyFont="1" applyFill="1" applyAlignment="1">
      <alignment horizontal="right" vertical="center"/>
    </xf>
    <xf numFmtId="173" fontId="19" fillId="20" borderId="0" xfId="0" applyNumberFormat="1" applyFont="1" applyFill="1" applyAlignment="1">
      <alignment horizontal="right" vertical="center"/>
    </xf>
    <xf numFmtId="2" fontId="45" fillId="20" borderId="0" xfId="0" applyNumberFormat="1" applyFont="1" applyFill="1" applyAlignment="1">
      <alignment horizontal="right" vertical="center"/>
    </xf>
    <xf numFmtId="0" fontId="1" fillId="2" borderId="0" xfId="0" applyFont="1" applyFill="1" applyAlignment="1">
      <alignment horizontal="left" vertical="center" indent="2"/>
    </xf>
    <xf numFmtId="0" fontId="0" fillId="0" borderId="0" xfId="0"/>
    <xf numFmtId="0" fontId="2" fillId="2" borderId="0" xfId="0" applyFont="1" applyFill="1" applyAlignment="1">
      <alignment horizontal="left" vertical="center" indent="2"/>
    </xf>
    <xf numFmtId="0" fontId="0" fillId="2" borderId="0" xfId="0" applyFill="1"/>
    <xf numFmtId="0" fontId="24" fillId="0" borderId="0" xfId="0" applyFont="1"/>
    <xf numFmtId="0" fontId="7" fillId="6" borderId="0" xfId="0" applyFont="1" applyFill="1"/>
    <xf numFmtId="0" fontId="24" fillId="5" borderId="0" xfId="0" applyFont="1" applyFill="1" applyAlignment="1">
      <alignment horizontal="left" vertical="center"/>
    </xf>
    <xf numFmtId="0" fontId="24" fillId="3" borderId="0" xfId="0" applyFont="1" applyFill="1" applyAlignment="1">
      <alignment horizontal="left" vertical="center"/>
    </xf>
    <xf numFmtId="0" fontId="24" fillId="20" borderId="0" xfId="0" applyFont="1" applyFill="1" applyAlignment="1">
      <alignment horizontal="left" vertical="center"/>
    </xf>
    <xf numFmtId="0" fontId="9" fillId="20" borderId="0" xfId="0" applyFont="1" applyFill="1"/>
    <xf numFmtId="0" fontId="43" fillId="31" borderId="0" xfId="0" applyFont="1" applyFill="1"/>
    <xf numFmtId="49" fontId="24" fillId="3" borderId="0" xfId="0" applyNumberFormat="1" applyFont="1" applyFill="1" applyAlignment="1">
      <alignment horizontal="left" vertical="center"/>
    </xf>
    <xf numFmtId="0" fontId="10" fillId="31"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8FAFC"/>
      <rgbColor rgb="FFE52B2B"/>
      <rgbColor rgb="FF001A0A"/>
      <rgbColor rgb="FF0A1428"/>
      <rgbColor rgb="FF0A0D14"/>
      <rgbColor rgb="FF0A1020"/>
      <rgbColor rgb="FF00D4AA"/>
      <rgbColor rgb="FF2B0000"/>
      <rgbColor rgb="FF002B22"/>
      <rgbColor rgb="FF1A1040"/>
      <rgbColor rgb="FFD97706"/>
      <rgbColor rgb="FF131A26"/>
      <rgbColor rgb="FF001A14"/>
      <rgbColor rgb="FFFFB347"/>
      <rgbColor rgb="FFFB923C"/>
      <rgbColor rgb="FFA78BFA"/>
      <rgbColor rgb="FF0F1520"/>
      <rgbColor rgb="FFF0FDF4"/>
      <rgbColor rgb="FFDCFCE7"/>
      <rgbColor rgb="FF2B0A0A"/>
      <rgbColor rgb="FFF87171"/>
      <rgbColor rgb="FF0A1628"/>
      <rgbColor rgb="FFCBD5E1"/>
      <rgbColor rgb="FF1A0A28"/>
      <rgbColor rgb="FF0D1117"/>
      <rgbColor rgb="FF060A12"/>
      <rgbColor rgb="FF0A150A"/>
      <rgbColor rgb="FF1A0D00"/>
      <rgbColor rgb="FF1A0808"/>
      <rgbColor rgb="FF001A10"/>
      <rgbColor rgb="FF0A1A2B"/>
      <rgbColor rgb="FF06B6D4"/>
      <rgbColor rgb="FFE2E8F0"/>
      <rgbColor rgb="FFFEE2E2"/>
      <rgbColor rgb="FFFFF1F2"/>
      <rgbColor rgb="FF61AAFA"/>
      <rgbColor rgb="FFF472B6"/>
      <rgbColor rgb="FFE879F9"/>
      <rgbColor rgb="FFFCD34D"/>
      <rgbColor rgb="FF7761F5"/>
      <rgbColor rgb="FF44DD84"/>
      <rgbColor rgb="FF0D1A08"/>
      <rgbColor rgb="FFFBBF24"/>
      <rgbColor rgb="FFF59E0B"/>
      <rgbColor rgb="FFF97316"/>
      <rgbColor rgb="FF64748B"/>
      <rgbColor rgb="FF94A3B8"/>
      <rgbColor rgb="FF003020"/>
      <rgbColor rgb="FF10B981"/>
      <rgbColor rgb="FF002B10"/>
      <rgbColor rgb="FF2B1800"/>
      <rgbColor rgb="FF1A1000"/>
      <rgbColor rgb="FF0D1A10"/>
      <rgbColor rgb="FF345853"/>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4"/>
  <sheetViews>
    <sheetView showGridLines="0" zoomScaleNormal="100" workbookViewId="0">
      <pane xSplit="1" ySplit="5" topLeftCell="B126" activePane="bottomRight" state="frozen"/>
      <selection pane="topRight" activeCell="B1" sqref="B1"/>
      <selection pane="bottomLeft" activeCell="A6" sqref="A6"/>
      <selection pane="bottomRight" sqref="A1:I1"/>
    </sheetView>
  </sheetViews>
  <sheetFormatPr defaultColWidth="8.7109375" defaultRowHeight="15" x14ac:dyDescent="0.25"/>
  <cols>
    <col min="1" max="1" width="14" customWidth="1"/>
    <col min="2" max="9" width="18" customWidth="1"/>
  </cols>
  <sheetData>
    <row r="1" spans="1:9" ht="37.5" customHeight="1" x14ac:dyDescent="0.25">
      <c r="A1" s="340" t="s">
        <v>0</v>
      </c>
      <c r="B1" s="341"/>
      <c r="C1" s="341"/>
      <c r="D1" s="341"/>
      <c r="E1" s="341"/>
      <c r="F1" s="341"/>
      <c r="G1" s="341"/>
      <c r="H1" s="341"/>
      <c r="I1" s="341"/>
    </row>
    <row r="2" spans="1:9" ht="19.5" customHeight="1" x14ac:dyDescent="0.25">
      <c r="A2" s="342" t="s">
        <v>1</v>
      </c>
      <c r="B2" s="341"/>
      <c r="C2" s="341"/>
      <c r="D2" s="341"/>
      <c r="E2" s="341"/>
      <c r="F2" s="341"/>
      <c r="G2" s="341"/>
      <c r="H2" s="341"/>
      <c r="I2" s="341"/>
    </row>
    <row r="3" spans="1:9" ht="9.75" customHeight="1" x14ac:dyDescent="0.25">
      <c r="A3" s="343"/>
      <c r="B3" s="341"/>
      <c r="C3" s="341"/>
      <c r="D3" s="341"/>
      <c r="E3" s="341"/>
      <c r="F3" s="341"/>
      <c r="G3" s="341"/>
      <c r="H3" s="341"/>
      <c r="I3" s="341"/>
    </row>
    <row r="4" spans="1:9" ht="30" customHeight="1" x14ac:dyDescent="0.25">
      <c r="A4" s="1" t="s">
        <v>2</v>
      </c>
      <c r="B4" s="2" t="s">
        <v>3</v>
      </c>
      <c r="C4" s="2" t="s">
        <v>4</v>
      </c>
      <c r="D4" s="2" t="s">
        <v>5</v>
      </c>
      <c r="E4" s="2" t="s">
        <v>6</v>
      </c>
      <c r="F4" s="2" t="s">
        <v>7</v>
      </c>
      <c r="G4" s="2" t="s">
        <v>8</v>
      </c>
      <c r="H4" s="2" t="s">
        <v>9</v>
      </c>
      <c r="I4" s="2" t="s">
        <v>10</v>
      </c>
    </row>
    <row r="5" spans="1:9" ht="15.75" customHeight="1" x14ac:dyDescent="0.25">
      <c r="A5" s="3" t="s">
        <v>11</v>
      </c>
      <c r="B5" s="4" t="s">
        <v>12</v>
      </c>
      <c r="C5" s="4" t="s">
        <v>13</v>
      </c>
      <c r="D5" s="4" t="s">
        <v>14</v>
      </c>
      <c r="E5" s="4" t="s">
        <v>15</v>
      </c>
      <c r="F5" s="4" t="s">
        <v>14</v>
      </c>
      <c r="G5" s="4" t="s">
        <v>16</v>
      </c>
      <c r="H5" s="4" t="s">
        <v>17</v>
      </c>
      <c r="I5" s="4" t="s">
        <v>15</v>
      </c>
    </row>
    <row r="6" spans="1:9" ht="15.75" customHeight="1" x14ac:dyDescent="0.25">
      <c r="A6" s="5">
        <v>45293</v>
      </c>
      <c r="B6" s="6">
        <v>440</v>
      </c>
      <c r="C6" s="6">
        <v>290</v>
      </c>
      <c r="D6" s="7" t="s">
        <v>18</v>
      </c>
      <c r="E6" s="6">
        <v>2300</v>
      </c>
      <c r="F6" s="7" t="s">
        <v>18</v>
      </c>
      <c r="G6" s="6">
        <v>450</v>
      </c>
      <c r="H6" s="7" t="s">
        <v>18</v>
      </c>
      <c r="I6" s="6">
        <v>500</v>
      </c>
    </row>
    <row r="7" spans="1:9" ht="15.75" customHeight="1" x14ac:dyDescent="0.25">
      <c r="A7" s="8">
        <v>45295</v>
      </c>
      <c r="B7" s="9">
        <v>430</v>
      </c>
      <c r="C7" s="9">
        <v>290</v>
      </c>
      <c r="D7" s="10" t="s">
        <v>18</v>
      </c>
      <c r="E7" s="9">
        <v>2300</v>
      </c>
      <c r="F7" s="10" t="s">
        <v>18</v>
      </c>
      <c r="G7" s="9">
        <v>450</v>
      </c>
      <c r="H7" s="10" t="s">
        <v>18</v>
      </c>
      <c r="I7" s="9">
        <v>500</v>
      </c>
    </row>
    <row r="8" spans="1:9" ht="15.75" customHeight="1" x14ac:dyDescent="0.25">
      <c r="A8" s="5">
        <v>45298</v>
      </c>
      <c r="B8" s="6">
        <v>430</v>
      </c>
      <c r="C8" s="6">
        <v>290</v>
      </c>
      <c r="D8" s="7" t="s">
        <v>18</v>
      </c>
      <c r="E8" s="6">
        <v>2300</v>
      </c>
      <c r="F8" s="7" t="s">
        <v>18</v>
      </c>
      <c r="G8" s="6">
        <v>450</v>
      </c>
      <c r="H8" s="7" t="s">
        <v>18</v>
      </c>
      <c r="I8" s="6">
        <v>500</v>
      </c>
    </row>
    <row r="9" spans="1:9" ht="15.75" customHeight="1" x14ac:dyDescent="0.25">
      <c r="A9" s="8">
        <v>45300</v>
      </c>
      <c r="B9" s="9">
        <v>430</v>
      </c>
      <c r="C9" s="9">
        <v>290</v>
      </c>
      <c r="D9" s="10" t="s">
        <v>18</v>
      </c>
      <c r="E9" s="9">
        <v>2300</v>
      </c>
      <c r="F9" s="10" t="s">
        <v>18</v>
      </c>
      <c r="G9" s="9">
        <v>450</v>
      </c>
      <c r="H9" s="10" t="s">
        <v>18</v>
      </c>
      <c r="I9" s="9">
        <v>500</v>
      </c>
    </row>
    <row r="10" spans="1:9" ht="15.75" customHeight="1" x14ac:dyDescent="0.25">
      <c r="A10" s="5">
        <v>45302</v>
      </c>
      <c r="B10" s="6">
        <v>430</v>
      </c>
      <c r="C10" s="6">
        <v>290</v>
      </c>
      <c r="D10" s="7" t="s">
        <v>18</v>
      </c>
      <c r="E10" s="6">
        <v>2300</v>
      </c>
      <c r="F10" s="7" t="s">
        <v>18</v>
      </c>
      <c r="G10" s="6">
        <v>450</v>
      </c>
      <c r="H10" s="7" t="s">
        <v>18</v>
      </c>
      <c r="I10" s="6">
        <v>500</v>
      </c>
    </row>
    <row r="11" spans="1:9" ht="15.75" customHeight="1" x14ac:dyDescent="0.25">
      <c r="A11" s="8">
        <v>45305</v>
      </c>
      <c r="B11" s="9">
        <v>430</v>
      </c>
      <c r="C11" s="9">
        <v>290</v>
      </c>
      <c r="D11" s="10" t="s">
        <v>18</v>
      </c>
      <c r="E11" s="9">
        <v>2300</v>
      </c>
      <c r="F11" s="10" t="s">
        <v>18</v>
      </c>
      <c r="G11" s="9">
        <v>450</v>
      </c>
      <c r="H11" s="10" t="s">
        <v>18</v>
      </c>
      <c r="I11" s="9">
        <v>500</v>
      </c>
    </row>
    <row r="12" spans="1:9" ht="15.75" customHeight="1" x14ac:dyDescent="0.25">
      <c r="A12" s="5">
        <v>45307</v>
      </c>
      <c r="B12" s="6">
        <v>430</v>
      </c>
      <c r="C12" s="6">
        <v>290</v>
      </c>
      <c r="D12" s="7" t="s">
        <v>18</v>
      </c>
      <c r="E12" s="6">
        <v>2300</v>
      </c>
      <c r="F12" s="7" t="s">
        <v>18</v>
      </c>
      <c r="G12" s="6">
        <v>450</v>
      </c>
      <c r="H12" s="7" t="s">
        <v>18</v>
      </c>
      <c r="I12" s="6">
        <v>500</v>
      </c>
    </row>
    <row r="13" spans="1:9" ht="15.75" customHeight="1" x14ac:dyDescent="0.25">
      <c r="A13" s="8">
        <v>45309</v>
      </c>
      <c r="B13" s="9">
        <v>430</v>
      </c>
      <c r="C13" s="9">
        <v>290</v>
      </c>
      <c r="D13" s="10" t="s">
        <v>18</v>
      </c>
      <c r="E13" s="9">
        <v>2300</v>
      </c>
      <c r="F13" s="10" t="s">
        <v>18</v>
      </c>
      <c r="G13" s="9">
        <v>450</v>
      </c>
      <c r="H13" s="10" t="s">
        <v>18</v>
      </c>
      <c r="I13" s="9">
        <v>500</v>
      </c>
    </row>
    <row r="14" spans="1:9" ht="15.75" customHeight="1" x14ac:dyDescent="0.25">
      <c r="A14" s="5">
        <v>45312</v>
      </c>
      <c r="B14" s="6">
        <v>430</v>
      </c>
      <c r="C14" s="6">
        <v>290</v>
      </c>
      <c r="D14" s="7" t="s">
        <v>18</v>
      </c>
      <c r="E14" s="6">
        <v>2300</v>
      </c>
      <c r="F14" s="7" t="s">
        <v>18</v>
      </c>
      <c r="G14" s="6">
        <v>450</v>
      </c>
      <c r="H14" s="7" t="s">
        <v>18</v>
      </c>
      <c r="I14" s="6">
        <v>500</v>
      </c>
    </row>
    <row r="15" spans="1:9" ht="15.75" customHeight="1" x14ac:dyDescent="0.25">
      <c r="A15" s="8">
        <v>45314</v>
      </c>
      <c r="B15" s="9">
        <v>430</v>
      </c>
      <c r="C15" s="9">
        <v>290</v>
      </c>
      <c r="D15" s="10" t="s">
        <v>18</v>
      </c>
      <c r="E15" s="9">
        <v>2300</v>
      </c>
      <c r="F15" s="10" t="s">
        <v>18</v>
      </c>
      <c r="G15" s="9">
        <v>450</v>
      </c>
      <c r="H15" s="10" t="s">
        <v>18</v>
      </c>
      <c r="I15" s="9">
        <v>500</v>
      </c>
    </row>
    <row r="16" spans="1:9" ht="15.75" customHeight="1" x14ac:dyDescent="0.25">
      <c r="A16" s="5">
        <v>45316</v>
      </c>
      <c r="B16" s="6">
        <v>430</v>
      </c>
      <c r="C16" s="6">
        <v>290</v>
      </c>
      <c r="D16" s="7" t="s">
        <v>18</v>
      </c>
      <c r="E16" s="6">
        <v>2300</v>
      </c>
      <c r="F16" s="7" t="s">
        <v>18</v>
      </c>
      <c r="G16" s="6">
        <v>450</v>
      </c>
      <c r="H16" s="7" t="s">
        <v>18</v>
      </c>
      <c r="I16" s="6">
        <v>500</v>
      </c>
    </row>
    <row r="17" spans="1:9" ht="15.75" customHeight="1" x14ac:dyDescent="0.25">
      <c r="A17" s="8">
        <v>45319</v>
      </c>
      <c r="B17" s="9">
        <v>430</v>
      </c>
      <c r="C17" s="9">
        <v>290</v>
      </c>
      <c r="D17" s="10" t="s">
        <v>18</v>
      </c>
      <c r="E17" s="9">
        <v>2300</v>
      </c>
      <c r="F17" s="10" t="s">
        <v>18</v>
      </c>
      <c r="G17" s="9">
        <v>450</v>
      </c>
      <c r="H17" s="10" t="s">
        <v>18</v>
      </c>
      <c r="I17" s="9">
        <v>500</v>
      </c>
    </row>
    <row r="18" spans="1:9" ht="15.75" customHeight="1" x14ac:dyDescent="0.25">
      <c r="A18" s="5">
        <v>45321</v>
      </c>
      <c r="B18" s="6">
        <v>430</v>
      </c>
      <c r="C18" s="6">
        <v>290</v>
      </c>
      <c r="D18" s="7" t="s">
        <v>18</v>
      </c>
      <c r="E18" s="6">
        <v>2300</v>
      </c>
      <c r="F18" s="7" t="s">
        <v>18</v>
      </c>
      <c r="G18" s="6">
        <v>450</v>
      </c>
      <c r="H18" s="7" t="s">
        <v>18</v>
      </c>
      <c r="I18" s="6">
        <v>500</v>
      </c>
    </row>
    <row r="19" spans="1:9" ht="15.75" customHeight="1" x14ac:dyDescent="0.25">
      <c r="A19" s="8">
        <v>45323</v>
      </c>
      <c r="B19" s="9">
        <v>430</v>
      </c>
      <c r="C19" s="9">
        <v>290</v>
      </c>
      <c r="D19" s="10" t="s">
        <v>18</v>
      </c>
      <c r="E19" s="9">
        <v>2300</v>
      </c>
      <c r="F19" s="10" t="s">
        <v>18</v>
      </c>
      <c r="G19" s="9">
        <v>450</v>
      </c>
      <c r="H19" s="10" t="s">
        <v>18</v>
      </c>
      <c r="I19" s="9">
        <v>499</v>
      </c>
    </row>
    <row r="20" spans="1:9" ht="15.75" customHeight="1" x14ac:dyDescent="0.25">
      <c r="A20" s="5">
        <v>45326</v>
      </c>
      <c r="B20" s="6">
        <v>430</v>
      </c>
      <c r="C20" s="6">
        <v>290</v>
      </c>
      <c r="D20" s="7" t="s">
        <v>18</v>
      </c>
      <c r="E20" s="6">
        <v>2300</v>
      </c>
      <c r="F20" s="7" t="s">
        <v>18</v>
      </c>
      <c r="G20" s="6">
        <v>450</v>
      </c>
      <c r="H20" s="7" t="s">
        <v>18</v>
      </c>
      <c r="I20" s="6">
        <v>499</v>
      </c>
    </row>
    <row r="21" spans="1:9" ht="15.75" customHeight="1" x14ac:dyDescent="0.25">
      <c r="A21" s="8">
        <v>45328</v>
      </c>
      <c r="B21" s="9">
        <v>429</v>
      </c>
      <c r="C21" s="9">
        <v>290</v>
      </c>
      <c r="D21" s="10" t="s">
        <v>18</v>
      </c>
      <c r="E21" s="9">
        <v>2350</v>
      </c>
      <c r="F21" s="10" t="s">
        <v>18</v>
      </c>
      <c r="G21" s="9">
        <v>450</v>
      </c>
      <c r="H21" s="10" t="s">
        <v>18</v>
      </c>
      <c r="I21" s="9">
        <v>499</v>
      </c>
    </row>
    <row r="22" spans="1:9" ht="15.75" customHeight="1" x14ac:dyDescent="0.25">
      <c r="A22" s="5">
        <v>45330</v>
      </c>
      <c r="B22" s="6">
        <v>429</v>
      </c>
      <c r="C22" s="6">
        <v>290</v>
      </c>
      <c r="D22" s="7" t="s">
        <v>18</v>
      </c>
      <c r="E22" s="6">
        <v>2300</v>
      </c>
      <c r="F22" s="7" t="s">
        <v>18</v>
      </c>
      <c r="G22" s="6">
        <v>450</v>
      </c>
      <c r="H22" s="7" t="s">
        <v>18</v>
      </c>
      <c r="I22" s="6">
        <v>499</v>
      </c>
    </row>
    <row r="23" spans="1:9" ht="15.75" customHeight="1" x14ac:dyDescent="0.25">
      <c r="A23" s="8">
        <v>45333</v>
      </c>
      <c r="B23" s="9">
        <v>429</v>
      </c>
      <c r="C23" s="9">
        <v>290</v>
      </c>
      <c r="D23" s="10" t="s">
        <v>18</v>
      </c>
      <c r="E23" s="9">
        <v>2300</v>
      </c>
      <c r="F23" s="10" t="s">
        <v>18</v>
      </c>
      <c r="G23" s="9">
        <v>450</v>
      </c>
      <c r="H23" s="10" t="s">
        <v>18</v>
      </c>
      <c r="I23" s="9">
        <v>499</v>
      </c>
    </row>
    <row r="24" spans="1:9" ht="15.75" customHeight="1" x14ac:dyDescent="0.25">
      <c r="A24" s="5">
        <v>45335</v>
      </c>
      <c r="B24" s="6">
        <v>429</v>
      </c>
      <c r="C24" s="6">
        <v>290</v>
      </c>
      <c r="D24" s="7" t="s">
        <v>18</v>
      </c>
      <c r="E24" s="6">
        <v>2300</v>
      </c>
      <c r="F24" s="7" t="s">
        <v>18</v>
      </c>
      <c r="G24" s="6">
        <v>450</v>
      </c>
      <c r="H24" s="7" t="s">
        <v>18</v>
      </c>
      <c r="I24" s="6">
        <v>499</v>
      </c>
    </row>
    <row r="25" spans="1:9" ht="15.75" customHeight="1" x14ac:dyDescent="0.25">
      <c r="A25" s="8">
        <v>45337</v>
      </c>
      <c r="B25" s="9">
        <v>430</v>
      </c>
      <c r="C25" s="9">
        <v>290</v>
      </c>
      <c r="D25" s="10" t="s">
        <v>18</v>
      </c>
      <c r="E25" s="9">
        <v>2300</v>
      </c>
      <c r="F25" s="10" t="s">
        <v>18</v>
      </c>
      <c r="G25" s="9">
        <v>450</v>
      </c>
      <c r="H25" s="10" t="s">
        <v>18</v>
      </c>
      <c r="I25" s="9">
        <v>499</v>
      </c>
    </row>
    <row r="26" spans="1:9" ht="15.75" customHeight="1" x14ac:dyDescent="0.25">
      <c r="A26" s="5">
        <v>45340</v>
      </c>
      <c r="B26" s="6">
        <v>430</v>
      </c>
      <c r="C26" s="6">
        <v>290</v>
      </c>
      <c r="D26" s="7" t="s">
        <v>18</v>
      </c>
      <c r="E26" s="6">
        <v>2300</v>
      </c>
      <c r="F26" s="7" t="s">
        <v>18</v>
      </c>
      <c r="G26" s="6">
        <v>450</v>
      </c>
      <c r="H26" s="7" t="s">
        <v>18</v>
      </c>
      <c r="I26" s="6">
        <v>499</v>
      </c>
    </row>
    <row r="27" spans="1:9" ht="15.75" customHeight="1" x14ac:dyDescent="0.25">
      <c r="A27" s="8">
        <v>45342</v>
      </c>
      <c r="B27" s="9">
        <v>429</v>
      </c>
      <c r="C27" s="9">
        <v>290</v>
      </c>
      <c r="D27" s="10" t="s">
        <v>18</v>
      </c>
      <c r="E27" s="9">
        <v>2300</v>
      </c>
      <c r="F27" s="10" t="s">
        <v>18</v>
      </c>
      <c r="G27" s="9">
        <v>450</v>
      </c>
      <c r="H27" s="10" t="s">
        <v>18</v>
      </c>
      <c r="I27" s="9">
        <v>499</v>
      </c>
    </row>
    <row r="28" spans="1:9" ht="15.75" customHeight="1" x14ac:dyDescent="0.25">
      <c r="A28" s="5">
        <v>45344</v>
      </c>
      <c r="B28" s="6">
        <v>429</v>
      </c>
      <c r="C28" s="6">
        <v>290</v>
      </c>
      <c r="D28" s="7" t="s">
        <v>18</v>
      </c>
      <c r="E28" s="6">
        <v>2299</v>
      </c>
      <c r="F28" s="7" t="s">
        <v>18</v>
      </c>
      <c r="G28" s="6">
        <v>450</v>
      </c>
      <c r="H28" s="7" t="s">
        <v>18</v>
      </c>
      <c r="I28" s="6">
        <v>499</v>
      </c>
    </row>
    <row r="29" spans="1:9" ht="15.75" customHeight="1" x14ac:dyDescent="0.25">
      <c r="A29" s="8">
        <v>45347</v>
      </c>
      <c r="B29" s="9">
        <v>429</v>
      </c>
      <c r="C29" s="9">
        <v>290</v>
      </c>
      <c r="D29" s="10" t="s">
        <v>18</v>
      </c>
      <c r="E29" s="9">
        <v>2299</v>
      </c>
      <c r="F29" s="10" t="s">
        <v>18</v>
      </c>
      <c r="G29" s="9">
        <v>450</v>
      </c>
      <c r="H29" s="10" t="s">
        <v>18</v>
      </c>
      <c r="I29" s="9">
        <v>499</v>
      </c>
    </row>
    <row r="30" spans="1:9" ht="15.75" customHeight="1" x14ac:dyDescent="0.25">
      <c r="A30" s="5">
        <v>45349</v>
      </c>
      <c r="B30" s="6">
        <v>429</v>
      </c>
      <c r="C30" s="6">
        <v>290</v>
      </c>
      <c r="D30" s="7" t="s">
        <v>18</v>
      </c>
      <c r="E30" s="6">
        <v>2300</v>
      </c>
      <c r="F30" s="7" t="s">
        <v>18</v>
      </c>
      <c r="G30" s="6">
        <v>450</v>
      </c>
      <c r="H30" s="7" t="s">
        <v>18</v>
      </c>
      <c r="I30" s="6">
        <v>499</v>
      </c>
    </row>
    <row r="31" spans="1:9" ht="15.75" customHeight="1" x14ac:dyDescent="0.25">
      <c r="A31" s="8">
        <v>45351</v>
      </c>
      <c r="B31" s="9">
        <v>430</v>
      </c>
      <c r="C31" s="9">
        <v>290</v>
      </c>
      <c r="D31" s="10" t="s">
        <v>18</v>
      </c>
      <c r="E31" s="9">
        <v>2300</v>
      </c>
      <c r="F31" s="10" t="s">
        <v>18</v>
      </c>
      <c r="G31" s="9">
        <v>450</v>
      </c>
      <c r="H31" s="10" t="s">
        <v>18</v>
      </c>
      <c r="I31" s="9">
        <v>499</v>
      </c>
    </row>
    <row r="32" spans="1:9" ht="15.75" customHeight="1" x14ac:dyDescent="0.25">
      <c r="A32" s="5">
        <v>45354</v>
      </c>
      <c r="B32" s="6">
        <v>430</v>
      </c>
      <c r="C32" s="6">
        <v>290</v>
      </c>
      <c r="D32" s="7" t="s">
        <v>18</v>
      </c>
      <c r="E32" s="6">
        <v>2300</v>
      </c>
      <c r="F32" s="7" t="s">
        <v>18</v>
      </c>
      <c r="G32" s="6">
        <v>450</v>
      </c>
      <c r="H32" s="7" t="s">
        <v>18</v>
      </c>
      <c r="I32" s="6">
        <v>499</v>
      </c>
    </row>
    <row r="33" spans="1:9" ht="15.75" customHeight="1" x14ac:dyDescent="0.25">
      <c r="A33" s="8">
        <v>45356</v>
      </c>
      <c r="B33" s="9">
        <v>430</v>
      </c>
      <c r="C33" s="9">
        <v>290</v>
      </c>
      <c r="D33" s="10" t="s">
        <v>18</v>
      </c>
      <c r="E33" s="9">
        <v>2300</v>
      </c>
      <c r="F33" s="10" t="s">
        <v>18</v>
      </c>
      <c r="G33" s="9">
        <v>450</v>
      </c>
      <c r="H33" s="10" t="s">
        <v>18</v>
      </c>
      <c r="I33" s="9">
        <v>499</v>
      </c>
    </row>
    <row r="34" spans="1:9" ht="15.75" customHeight="1" x14ac:dyDescent="0.25">
      <c r="A34" s="5">
        <v>45358</v>
      </c>
      <c r="B34" s="6">
        <v>430</v>
      </c>
      <c r="C34" s="6">
        <v>290</v>
      </c>
      <c r="D34" s="7" t="s">
        <v>18</v>
      </c>
      <c r="E34" s="6">
        <v>2300</v>
      </c>
      <c r="F34" s="7" t="s">
        <v>18</v>
      </c>
      <c r="G34" s="6">
        <v>450</v>
      </c>
      <c r="H34" s="7" t="s">
        <v>18</v>
      </c>
      <c r="I34" s="6">
        <v>499</v>
      </c>
    </row>
    <row r="35" spans="1:9" ht="15.75" customHeight="1" x14ac:dyDescent="0.25">
      <c r="A35" s="8">
        <v>45361</v>
      </c>
      <c r="B35" s="9">
        <v>430</v>
      </c>
      <c r="C35" s="9">
        <v>290</v>
      </c>
      <c r="D35" s="10" t="s">
        <v>18</v>
      </c>
      <c r="E35" s="9">
        <v>2300</v>
      </c>
      <c r="F35" s="10" t="s">
        <v>18</v>
      </c>
      <c r="G35" s="9">
        <v>450</v>
      </c>
      <c r="H35" s="10" t="s">
        <v>18</v>
      </c>
      <c r="I35" s="9">
        <v>499</v>
      </c>
    </row>
    <row r="36" spans="1:9" ht="15.75" customHeight="1" x14ac:dyDescent="0.25">
      <c r="A36" s="5">
        <v>45363</v>
      </c>
      <c r="B36" s="6">
        <v>430</v>
      </c>
      <c r="C36" s="6">
        <v>290</v>
      </c>
      <c r="D36" s="7" t="s">
        <v>18</v>
      </c>
      <c r="E36" s="6">
        <v>2305</v>
      </c>
      <c r="F36" s="7" t="s">
        <v>18</v>
      </c>
      <c r="G36" s="6">
        <v>450</v>
      </c>
      <c r="H36" s="7" t="s">
        <v>18</v>
      </c>
      <c r="I36" s="6">
        <v>499</v>
      </c>
    </row>
    <row r="37" spans="1:9" ht="15.75" customHeight="1" x14ac:dyDescent="0.25">
      <c r="A37" s="8">
        <v>45365</v>
      </c>
      <c r="B37" s="9">
        <v>430</v>
      </c>
      <c r="C37" s="9">
        <v>290</v>
      </c>
      <c r="D37" s="10" t="s">
        <v>18</v>
      </c>
      <c r="E37" s="9">
        <v>2300</v>
      </c>
      <c r="F37" s="10" t="s">
        <v>18</v>
      </c>
      <c r="G37" s="9">
        <v>450</v>
      </c>
      <c r="H37" s="10" t="s">
        <v>18</v>
      </c>
      <c r="I37" s="9">
        <v>499</v>
      </c>
    </row>
    <row r="38" spans="1:9" ht="15.75" customHeight="1" x14ac:dyDescent="0.25">
      <c r="A38" s="5">
        <v>45368</v>
      </c>
      <c r="B38" s="6">
        <v>430</v>
      </c>
      <c r="C38" s="6">
        <v>290</v>
      </c>
      <c r="D38" s="7" t="s">
        <v>18</v>
      </c>
      <c r="E38" s="6">
        <v>2300</v>
      </c>
      <c r="F38" s="7" t="s">
        <v>18</v>
      </c>
      <c r="G38" s="6">
        <v>450</v>
      </c>
      <c r="H38" s="7" t="s">
        <v>18</v>
      </c>
      <c r="I38" s="6">
        <v>499</v>
      </c>
    </row>
    <row r="39" spans="1:9" ht="15.75" customHeight="1" x14ac:dyDescent="0.25">
      <c r="A39" s="8">
        <v>45370</v>
      </c>
      <c r="B39" s="9">
        <v>430</v>
      </c>
      <c r="C39" s="9">
        <v>290</v>
      </c>
      <c r="D39" s="10" t="s">
        <v>18</v>
      </c>
      <c r="E39" s="9">
        <v>2300</v>
      </c>
      <c r="F39" s="10" t="s">
        <v>18</v>
      </c>
      <c r="G39" s="9">
        <v>450</v>
      </c>
      <c r="H39" s="10" t="s">
        <v>18</v>
      </c>
      <c r="I39" s="9">
        <v>499</v>
      </c>
    </row>
    <row r="40" spans="1:9" ht="15.75" customHeight="1" x14ac:dyDescent="0.25">
      <c r="A40" s="5">
        <v>45372</v>
      </c>
      <c r="B40" s="6">
        <v>430</v>
      </c>
      <c r="C40" s="6">
        <v>290</v>
      </c>
      <c r="D40" s="7" t="s">
        <v>18</v>
      </c>
      <c r="E40" s="6">
        <v>2300</v>
      </c>
      <c r="F40" s="7" t="s">
        <v>18</v>
      </c>
      <c r="G40" s="6">
        <v>450</v>
      </c>
      <c r="H40" s="7" t="s">
        <v>18</v>
      </c>
      <c r="I40" s="6">
        <v>499</v>
      </c>
    </row>
    <row r="41" spans="1:9" ht="15.75" customHeight="1" x14ac:dyDescent="0.25">
      <c r="A41" s="8">
        <v>45375</v>
      </c>
      <c r="B41" s="9">
        <v>430</v>
      </c>
      <c r="C41" s="9">
        <v>290</v>
      </c>
      <c r="D41" s="10" t="s">
        <v>18</v>
      </c>
      <c r="E41" s="9">
        <v>2300</v>
      </c>
      <c r="F41" s="10" t="s">
        <v>18</v>
      </c>
      <c r="G41" s="9">
        <v>450</v>
      </c>
      <c r="H41" s="10" t="s">
        <v>18</v>
      </c>
      <c r="I41" s="9">
        <v>499</v>
      </c>
    </row>
    <row r="42" spans="1:9" ht="15.75" customHeight="1" x14ac:dyDescent="0.25">
      <c r="A42" s="5">
        <v>45377</v>
      </c>
      <c r="B42" s="6">
        <v>430</v>
      </c>
      <c r="C42" s="6">
        <v>290</v>
      </c>
      <c r="D42" s="7" t="s">
        <v>18</v>
      </c>
      <c r="E42" s="6">
        <v>2300</v>
      </c>
      <c r="F42" s="6">
        <v>2300</v>
      </c>
      <c r="G42" s="6">
        <v>450</v>
      </c>
      <c r="H42" s="7" t="s">
        <v>18</v>
      </c>
      <c r="I42" s="6">
        <v>499</v>
      </c>
    </row>
    <row r="43" spans="1:9" ht="15.75" customHeight="1" x14ac:dyDescent="0.25">
      <c r="A43" s="8">
        <v>45379</v>
      </c>
      <c r="B43" s="9">
        <v>430</v>
      </c>
      <c r="C43" s="9">
        <v>290</v>
      </c>
      <c r="D43" s="10" t="s">
        <v>18</v>
      </c>
      <c r="E43" s="9">
        <v>2300</v>
      </c>
      <c r="F43" s="9">
        <v>2300</v>
      </c>
      <c r="G43" s="9">
        <v>450</v>
      </c>
      <c r="H43" s="10" t="s">
        <v>18</v>
      </c>
      <c r="I43" s="9">
        <v>499</v>
      </c>
    </row>
    <row r="44" spans="1:9" ht="15.75" customHeight="1" x14ac:dyDescent="0.25">
      <c r="A44" s="5">
        <v>45382</v>
      </c>
      <c r="B44" s="6">
        <v>430</v>
      </c>
      <c r="C44" s="6">
        <v>290</v>
      </c>
      <c r="D44" s="7" t="s">
        <v>18</v>
      </c>
      <c r="E44" s="6">
        <v>2300</v>
      </c>
      <c r="F44" s="6">
        <v>2300</v>
      </c>
      <c r="G44" s="6">
        <v>450</v>
      </c>
      <c r="H44" s="7" t="s">
        <v>18</v>
      </c>
      <c r="I44" s="6">
        <v>499</v>
      </c>
    </row>
    <row r="45" spans="1:9" ht="15.75" customHeight="1" x14ac:dyDescent="0.25">
      <c r="A45" s="8">
        <v>45384</v>
      </c>
      <c r="B45" s="9">
        <v>430</v>
      </c>
      <c r="C45" s="9">
        <v>290</v>
      </c>
      <c r="D45" s="10" t="s">
        <v>18</v>
      </c>
      <c r="E45" s="9">
        <v>2260</v>
      </c>
      <c r="F45" s="9">
        <v>2300</v>
      </c>
      <c r="G45" s="9">
        <v>450</v>
      </c>
      <c r="H45" s="10" t="s">
        <v>18</v>
      </c>
      <c r="I45" s="9">
        <v>499</v>
      </c>
    </row>
    <row r="46" spans="1:9" ht="15.75" customHeight="1" x14ac:dyDescent="0.25">
      <c r="A46" s="5">
        <v>45386</v>
      </c>
      <c r="B46" s="6">
        <v>430</v>
      </c>
      <c r="C46" s="6">
        <v>290</v>
      </c>
      <c r="D46" s="7" t="s">
        <v>18</v>
      </c>
      <c r="E46" s="6">
        <v>2300</v>
      </c>
      <c r="F46" s="6">
        <v>2300</v>
      </c>
      <c r="G46" s="6">
        <v>405</v>
      </c>
      <c r="H46" s="7" t="s">
        <v>18</v>
      </c>
      <c r="I46" s="6">
        <v>499</v>
      </c>
    </row>
    <row r="47" spans="1:9" ht="15.75" customHeight="1" x14ac:dyDescent="0.25">
      <c r="A47" s="8">
        <v>45389</v>
      </c>
      <c r="B47" s="9">
        <v>430</v>
      </c>
      <c r="C47" s="9">
        <v>290</v>
      </c>
      <c r="D47" s="10" t="s">
        <v>18</v>
      </c>
      <c r="E47" s="9">
        <v>2300</v>
      </c>
      <c r="F47" s="9">
        <v>2300</v>
      </c>
      <c r="G47" s="9">
        <v>405</v>
      </c>
      <c r="H47" s="10" t="s">
        <v>18</v>
      </c>
      <c r="I47" s="9">
        <v>499</v>
      </c>
    </row>
    <row r="48" spans="1:9" ht="15.75" customHeight="1" x14ac:dyDescent="0.25">
      <c r="A48" s="5">
        <v>45391</v>
      </c>
      <c r="B48" s="6">
        <v>430</v>
      </c>
      <c r="C48" s="6">
        <v>290</v>
      </c>
      <c r="D48" s="7" t="s">
        <v>18</v>
      </c>
      <c r="E48" s="6">
        <v>2300</v>
      </c>
      <c r="F48" s="6">
        <v>2300</v>
      </c>
      <c r="G48" s="6">
        <v>405</v>
      </c>
      <c r="H48" s="7" t="s">
        <v>18</v>
      </c>
      <c r="I48" s="6">
        <v>499</v>
      </c>
    </row>
    <row r="49" spans="1:9" ht="15.75" customHeight="1" x14ac:dyDescent="0.25">
      <c r="A49" s="8">
        <v>45396</v>
      </c>
      <c r="B49" s="9">
        <v>430</v>
      </c>
      <c r="C49" s="9">
        <v>292</v>
      </c>
      <c r="D49" s="10" t="s">
        <v>18</v>
      </c>
      <c r="E49" s="9">
        <v>2300</v>
      </c>
      <c r="F49" s="9">
        <v>2300</v>
      </c>
      <c r="G49" s="9">
        <v>405</v>
      </c>
      <c r="H49" s="10" t="s">
        <v>18</v>
      </c>
      <c r="I49" s="9">
        <v>499</v>
      </c>
    </row>
    <row r="50" spans="1:9" ht="15.75" customHeight="1" x14ac:dyDescent="0.25">
      <c r="A50" s="5">
        <v>45398</v>
      </c>
      <c r="B50" s="6">
        <v>430</v>
      </c>
      <c r="C50" s="6">
        <v>292</v>
      </c>
      <c r="D50" s="7" t="s">
        <v>18</v>
      </c>
      <c r="E50" s="6">
        <v>2300</v>
      </c>
      <c r="F50" s="6">
        <v>2300</v>
      </c>
      <c r="G50" s="6">
        <v>405</v>
      </c>
      <c r="H50" s="7" t="s">
        <v>18</v>
      </c>
      <c r="I50" s="6">
        <v>499</v>
      </c>
    </row>
    <row r="51" spans="1:9" ht="15.75" customHeight="1" x14ac:dyDescent="0.25">
      <c r="A51" s="8">
        <v>45400</v>
      </c>
      <c r="B51" s="9">
        <v>430</v>
      </c>
      <c r="C51" s="9">
        <v>292</v>
      </c>
      <c r="D51" s="10" t="s">
        <v>18</v>
      </c>
      <c r="E51" s="9">
        <v>2300</v>
      </c>
      <c r="F51" s="9">
        <v>2300</v>
      </c>
      <c r="G51" s="9">
        <v>405</v>
      </c>
      <c r="H51" s="10" t="s">
        <v>18</v>
      </c>
      <c r="I51" s="9">
        <v>499</v>
      </c>
    </row>
    <row r="52" spans="1:9" ht="15.75" customHeight="1" x14ac:dyDescent="0.25">
      <c r="A52" s="5">
        <v>45403</v>
      </c>
      <c r="B52" s="6">
        <v>430</v>
      </c>
      <c r="C52" s="6">
        <v>292</v>
      </c>
      <c r="D52" s="7" t="s">
        <v>18</v>
      </c>
      <c r="E52" s="6">
        <v>2300</v>
      </c>
      <c r="F52" s="6">
        <v>2300</v>
      </c>
      <c r="G52" s="6">
        <v>405</v>
      </c>
      <c r="H52" s="7" t="s">
        <v>18</v>
      </c>
      <c r="I52" s="6">
        <v>499</v>
      </c>
    </row>
    <row r="53" spans="1:9" ht="15.75" customHeight="1" x14ac:dyDescent="0.25">
      <c r="A53" s="8">
        <v>45405</v>
      </c>
      <c r="B53" s="9">
        <v>430</v>
      </c>
      <c r="C53" s="9">
        <v>292</v>
      </c>
      <c r="D53" s="10" t="s">
        <v>18</v>
      </c>
      <c r="E53" s="9">
        <v>2300</v>
      </c>
      <c r="F53" s="9">
        <v>2300</v>
      </c>
      <c r="G53" s="9">
        <v>405</v>
      </c>
      <c r="H53" s="10" t="s">
        <v>18</v>
      </c>
      <c r="I53" s="9">
        <v>499</v>
      </c>
    </row>
    <row r="54" spans="1:9" ht="15.75" customHeight="1" x14ac:dyDescent="0.25">
      <c r="A54" s="5">
        <v>45407</v>
      </c>
      <c r="B54" s="6">
        <v>430</v>
      </c>
      <c r="C54" s="6">
        <v>292</v>
      </c>
      <c r="D54" s="7" t="s">
        <v>18</v>
      </c>
      <c r="E54" s="6">
        <v>2300</v>
      </c>
      <c r="F54" s="6">
        <v>2300</v>
      </c>
      <c r="G54" s="6">
        <v>405</v>
      </c>
      <c r="H54" s="7" t="s">
        <v>18</v>
      </c>
      <c r="I54" s="6">
        <v>499</v>
      </c>
    </row>
    <row r="55" spans="1:9" ht="15.75" customHeight="1" x14ac:dyDescent="0.25">
      <c r="A55" s="8">
        <v>45410</v>
      </c>
      <c r="B55" s="9">
        <v>430</v>
      </c>
      <c r="C55" s="9">
        <v>292</v>
      </c>
      <c r="D55" s="10" t="s">
        <v>18</v>
      </c>
      <c r="E55" s="9">
        <v>2300</v>
      </c>
      <c r="F55" s="9">
        <v>2300</v>
      </c>
      <c r="G55" s="9">
        <v>405</v>
      </c>
      <c r="H55" s="10" t="s">
        <v>18</v>
      </c>
      <c r="I55" s="9">
        <v>499</v>
      </c>
    </row>
    <row r="56" spans="1:9" ht="15.75" customHeight="1" x14ac:dyDescent="0.25">
      <c r="A56" s="5">
        <v>45412</v>
      </c>
      <c r="B56" s="6">
        <v>430</v>
      </c>
      <c r="C56" s="6">
        <v>292</v>
      </c>
      <c r="D56" s="7" t="s">
        <v>18</v>
      </c>
      <c r="E56" s="6">
        <v>2300</v>
      </c>
      <c r="F56" s="6">
        <v>2300</v>
      </c>
      <c r="G56" s="6">
        <v>405</v>
      </c>
      <c r="H56" s="7" t="s">
        <v>18</v>
      </c>
      <c r="I56" s="6">
        <v>499</v>
      </c>
    </row>
    <row r="57" spans="1:9" ht="15.75" customHeight="1" x14ac:dyDescent="0.25">
      <c r="A57" s="8">
        <v>45414</v>
      </c>
      <c r="B57" s="9">
        <v>430</v>
      </c>
      <c r="C57" s="9">
        <v>292</v>
      </c>
      <c r="D57" s="10" t="s">
        <v>18</v>
      </c>
      <c r="E57" s="9">
        <v>2300</v>
      </c>
      <c r="F57" s="9">
        <v>2300</v>
      </c>
      <c r="G57" s="9">
        <v>405</v>
      </c>
      <c r="H57" s="10" t="s">
        <v>18</v>
      </c>
      <c r="I57" s="9">
        <v>499</v>
      </c>
    </row>
    <row r="58" spans="1:9" ht="15.75" customHeight="1" x14ac:dyDescent="0.25">
      <c r="A58" s="5">
        <v>45417</v>
      </c>
      <c r="B58" s="6">
        <v>430</v>
      </c>
      <c r="C58" s="6">
        <v>292</v>
      </c>
      <c r="D58" s="7" t="s">
        <v>18</v>
      </c>
      <c r="E58" s="6">
        <v>2300</v>
      </c>
      <c r="F58" s="6">
        <v>2300</v>
      </c>
      <c r="G58" s="6">
        <v>405</v>
      </c>
      <c r="H58" s="7" t="s">
        <v>18</v>
      </c>
      <c r="I58" s="6">
        <v>499</v>
      </c>
    </row>
    <row r="59" spans="1:9" ht="15.75" customHeight="1" x14ac:dyDescent="0.25">
      <c r="A59" s="8">
        <v>45419</v>
      </c>
      <c r="B59" s="9">
        <v>430</v>
      </c>
      <c r="C59" s="9">
        <v>292</v>
      </c>
      <c r="D59" s="10" t="s">
        <v>18</v>
      </c>
      <c r="E59" s="9">
        <v>2300</v>
      </c>
      <c r="F59" s="9">
        <v>2300</v>
      </c>
      <c r="G59" s="9">
        <v>405</v>
      </c>
      <c r="H59" s="10" t="s">
        <v>18</v>
      </c>
      <c r="I59" s="9">
        <v>499</v>
      </c>
    </row>
    <row r="60" spans="1:9" ht="15.75" customHeight="1" x14ac:dyDescent="0.25">
      <c r="A60" s="5">
        <v>45421</v>
      </c>
      <c r="B60" s="6">
        <v>430</v>
      </c>
      <c r="C60" s="6">
        <v>292</v>
      </c>
      <c r="D60" s="7" t="s">
        <v>18</v>
      </c>
      <c r="E60" s="6">
        <v>2300</v>
      </c>
      <c r="F60" s="6">
        <v>2300</v>
      </c>
      <c r="G60" s="6">
        <v>405</v>
      </c>
      <c r="H60" s="7" t="s">
        <v>18</v>
      </c>
      <c r="I60" s="6">
        <v>499</v>
      </c>
    </row>
    <row r="61" spans="1:9" ht="15.75" customHeight="1" x14ac:dyDescent="0.25">
      <c r="A61" s="8">
        <v>45424</v>
      </c>
      <c r="B61" s="9">
        <v>430</v>
      </c>
      <c r="C61" s="9">
        <v>292</v>
      </c>
      <c r="D61" s="10" t="s">
        <v>18</v>
      </c>
      <c r="E61" s="9">
        <v>2300</v>
      </c>
      <c r="F61" s="9">
        <v>2300</v>
      </c>
      <c r="G61" s="9">
        <v>405</v>
      </c>
      <c r="H61" s="10" t="s">
        <v>18</v>
      </c>
      <c r="I61" s="9">
        <v>499</v>
      </c>
    </row>
    <row r="62" spans="1:9" ht="15.75" customHeight="1" x14ac:dyDescent="0.25">
      <c r="A62" s="5">
        <v>45426</v>
      </c>
      <c r="B62" s="6">
        <v>430</v>
      </c>
      <c r="C62" s="6">
        <v>292</v>
      </c>
      <c r="D62" s="7" t="s">
        <v>18</v>
      </c>
      <c r="E62" s="6">
        <v>2311</v>
      </c>
      <c r="F62" s="6">
        <v>2300</v>
      </c>
      <c r="G62" s="6">
        <v>405</v>
      </c>
      <c r="H62" s="7" t="s">
        <v>18</v>
      </c>
      <c r="I62" s="6">
        <v>499</v>
      </c>
    </row>
    <row r="63" spans="1:9" ht="15.75" customHeight="1" x14ac:dyDescent="0.25">
      <c r="A63" s="8">
        <v>45428</v>
      </c>
      <c r="B63" s="9">
        <v>430</v>
      </c>
      <c r="C63" s="9">
        <v>292</v>
      </c>
      <c r="D63" s="10" t="s">
        <v>18</v>
      </c>
      <c r="E63" s="9">
        <v>2311</v>
      </c>
      <c r="F63" s="9">
        <v>2300</v>
      </c>
      <c r="G63" s="9">
        <v>405</v>
      </c>
      <c r="H63" s="10" t="s">
        <v>18</v>
      </c>
      <c r="I63" s="9">
        <v>499</v>
      </c>
    </row>
    <row r="64" spans="1:9" ht="15.75" customHeight="1" x14ac:dyDescent="0.25">
      <c r="A64" s="5">
        <v>45431</v>
      </c>
      <c r="B64" s="6">
        <v>430</v>
      </c>
      <c r="C64" s="6">
        <v>292</v>
      </c>
      <c r="D64" s="7" t="s">
        <v>18</v>
      </c>
      <c r="E64" s="6">
        <v>2311</v>
      </c>
      <c r="F64" s="6">
        <v>2300</v>
      </c>
      <c r="G64" s="6">
        <v>405</v>
      </c>
      <c r="H64" s="7" t="s">
        <v>18</v>
      </c>
      <c r="I64" s="6">
        <v>499</v>
      </c>
    </row>
    <row r="65" spans="1:9" ht="15.75" customHeight="1" x14ac:dyDescent="0.25">
      <c r="A65" s="8">
        <v>45433</v>
      </c>
      <c r="B65" s="9">
        <v>430</v>
      </c>
      <c r="C65" s="9">
        <v>292</v>
      </c>
      <c r="D65" s="10" t="s">
        <v>18</v>
      </c>
      <c r="E65" s="9">
        <v>2312</v>
      </c>
      <c r="F65" s="9">
        <v>2300</v>
      </c>
      <c r="G65" s="9">
        <v>405</v>
      </c>
      <c r="H65" s="10" t="s">
        <v>18</v>
      </c>
      <c r="I65" s="9">
        <v>499</v>
      </c>
    </row>
    <row r="66" spans="1:9" ht="15.75" customHeight="1" x14ac:dyDescent="0.25">
      <c r="A66" s="5">
        <v>45435</v>
      </c>
      <c r="B66" s="6">
        <v>430</v>
      </c>
      <c r="C66" s="6">
        <v>292</v>
      </c>
      <c r="D66" s="7" t="s">
        <v>18</v>
      </c>
      <c r="E66" s="6">
        <v>2312</v>
      </c>
      <c r="F66" s="6">
        <v>2300</v>
      </c>
      <c r="G66" s="6">
        <v>405</v>
      </c>
      <c r="H66" s="7" t="s">
        <v>18</v>
      </c>
      <c r="I66" s="6">
        <v>499</v>
      </c>
    </row>
    <row r="67" spans="1:9" ht="15.75" customHeight="1" x14ac:dyDescent="0.25">
      <c r="A67" s="8">
        <v>45438</v>
      </c>
      <c r="B67" s="9">
        <v>430</v>
      </c>
      <c r="C67" s="9">
        <v>292</v>
      </c>
      <c r="D67" s="10" t="s">
        <v>18</v>
      </c>
      <c r="E67" s="9">
        <v>2312</v>
      </c>
      <c r="F67" s="9">
        <v>2300</v>
      </c>
      <c r="G67" s="9">
        <v>405</v>
      </c>
      <c r="H67" s="10" t="s">
        <v>18</v>
      </c>
      <c r="I67" s="9">
        <v>499</v>
      </c>
    </row>
    <row r="68" spans="1:9" ht="15.75" customHeight="1" x14ac:dyDescent="0.25">
      <c r="A68" s="5">
        <v>45440</v>
      </c>
      <c r="B68" s="6">
        <v>430</v>
      </c>
      <c r="C68" s="6">
        <v>292</v>
      </c>
      <c r="D68" s="7" t="s">
        <v>18</v>
      </c>
      <c r="E68" s="6">
        <v>2315</v>
      </c>
      <c r="F68" s="6">
        <v>2300</v>
      </c>
      <c r="G68" s="6">
        <v>405</v>
      </c>
      <c r="H68" s="7" t="s">
        <v>18</v>
      </c>
      <c r="I68" s="6">
        <v>499</v>
      </c>
    </row>
    <row r="69" spans="1:9" ht="15.75" customHeight="1" x14ac:dyDescent="0.25">
      <c r="A69" s="8">
        <v>45442</v>
      </c>
      <c r="B69" s="9">
        <v>430</v>
      </c>
      <c r="C69" s="9">
        <v>292</v>
      </c>
      <c r="D69" s="10" t="s">
        <v>18</v>
      </c>
      <c r="E69" s="9">
        <v>2315</v>
      </c>
      <c r="F69" s="9">
        <v>2300</v>
      </c>
      <c r="G69" s="9">
        <v>405</v>
      </c>
      <c r="H69" s="10" t="s">
        <v>18</v>
      </c>
      <c r="I69" s="9">
        <v>499</v>
      </c>
    </row>
    <row r="70" spans="1:9" ht="15.75" customHeight="1" x14ac:dyDescent="0.25">
      <c r="A70" s="5">
        <v>45445</v>
      </c>
      <c r="B70" s="6">
        <v>430</v>
      </c>
      <c r="C70" s="6">
        <v>292</v>
      </c>
      <c r="D70" s="7" t="s">
        <v>18</v>
      </c>
      <c r="E70" s="6">
        <v>2315</v>
      </c>
      <c r="F70" s="6">
        <v>2300</v>
      </c>
      <c r="G70" s="6">
        <v>405</v>
      </c>
      <c r="H70" s="7" t="s">
        <v>18</v>
      </c>
      <c r="I70" s="6">
        <v>499</v>
      </c>
    </row>
    <row r="71" spans="1:9" ht="15.75" customHeight="1" x14ac:dyDescent="0.25">
      <c r="A71" s="8">
        <v>45447</v>
      </c>
      <c r="B71" s="9">
        <v>430</v>
      </c>
      <c r="C71" s="9">
        <v>292</v>
      </c>
      <c r="D71" s="10" t="s">
        <v>18</v>
      </c>
      <c r="E71" s="9">
        <v>2316</v>
      </c>
      <c r="F71" s="9">
        <v>2300</v>
      </c>
      <c r="G71" s="9">
        <v>405</v>
      </c>
      <c r="H71" s="10" t="s">
        <v>18</v>
      </c>
      <c r="I71" s="9">
        <v>499</v>
      </c>
    </row>
    <row r="72" spans="1:9" ht="15.75" customHeight="1" x14ac:dyDescent="0.25">
      <c r="A72" s="5">
        <v>45449</v>
      </c>
      <c r="B72" s="6">
        <v>430</v>
      </c>
      <c r="C72" s="6">
        <v>292</v>
      </c>
      <c r="D72" s="7" t="s">
        <v>18</v>
      </c>
      <c r="E72" s="6">
        <v>2316</v>
      </c>
      <c r="F72" s="6">
        <v>2300</v>
      </c>
      <c r="G72" s="6">
        <v>405</v>
      </c>
      <c r="H72" s="7" t="s">
        <v>18</v>
      </c>
      <c r="I72" s="6">
        <v>499</v>
      </c>
    </row>
    <row r="73" spans="1:9" ht="15.75" customHeight="1" x14ac:dyDescent="0.25">
      <c r="A73" s="8">
        <v>45452</v>
      </c>
      <c r="B73" s="9">
        <v>430</v>
      </c>
      <c r="C73" s="9">
        <v>292</v>
      </c>
      <c r="D73" s="10" t="s">
        <v>18</v>
      </c>
      <c r="E73" s="9">
        <v>2316</v>
      </c>
      <c r="F73" s="9">
        <v>2300</v>
      </c>
      <c r="G73" s="9">
        <v>405</v>
      </c>
      <c r="H73" s="10" t="s">
        <v>18</v>
      </c>
      <c r="I73" s="9">
        <v>499</v>
      </c>
    </row>
    <row r="74" spans="1:9" ht="15.75" customHeight="1" x14ac:dyDescent="0.25">
      <c r="A74" s="5">
        <v>45454</v>
      </c>
      <c r="B74" s="6">
        <v>430</v>
      </c>
      <c r="C74" s="6">
        <v>292</v>
      </c>
      <c r="D74" s="7" t="s">
        <v>18</v>
      </c>
      <c r="E74" s="6">
        <v>2315</v>
      </c>
      <c r="F74" s="6">
        <v>2300</v>
      </c>
      <c r="G74" s="6">
        <v>405</v>
      </c>
      <c r="H74" s="7" t="s">
        <v>18</v>
      </c>
      <c r="I74" s="6">
        <v>499</v>
      </c>
    </row>
    <row r="75" spans="1:9" ht="15.75" customHeight="1" x14ac:dyDescent="0.25">
      <c r="A75" s="8">
        <v>45456</v>
      </c>
      <c r="B75" s="9">
        <v>430</v>
      </c>
      <c r="C75" s="9">
        <v>292</v>
      </c>
      <c r="D75" s="10" t="s">
        <v>18</v>
      </c>
      <c r="E75" s="9">
        <v>2315</v>
      </c>
      <c r="F75" s="9">
        <v>2300</v>
      </c>
      <c r="G75" s="9">
        <v>405</v>
      </c>
      <c r="H75" s="10" t="s">
        <v>18</v>
      </c>
      <c r="I75" s="9">
        <v>499</v>
      </c>
    </row>
    <row r="76" spans="1:9" ht="15.75" customHeight="1" x14ac:dyDescent="0.25">
      <c r="A76" s="5">
        <v>45462</v>
      </c>
      <c r="B76" s="6">
        <v>430</v>
      </c>
      <c r="C76" s="6">
        <v>292</v>
      </c>
      <c r="D76" s="7" t="s">
        <v>18</v>
      </c>
      <c r="E76" s="6">
        <v>2315</v>
      </c>
      <c r="F76" s="6">
        <v>2300</v>
      </c>
      <c r="G76" s="6">
        <v>405</v>
      </c>
      <c r="H76" s="7" t="s">
        <v>18</v>
      </c>
      <c r="I76" s="6">
        <v>499</v>
      </c>
    </row>
    <row r="77" spans="1:9" ht="15.75" customHeight="1" x14ac:dyDescent="0.25">
      <c r="A77" s="8">
        <v>45463</v>
      </c>
      <c r="B77" s="9">
        <v>430</v>
      </c>
      <c r="C77" s="9">
        <v>292</v>
      </c>
      <c r="D77" s="10" t="s">
        <v>18</v>
      </c>
      <c r="E77" s="9">
        <v>2315</v>
      </c>
      <c r="F77" s="9">
        <v>2300</v>
      </c>
      <c r="G77" s="9">
        <v>405</v>
      </c>
      <c r="H77" s="10" t="s">
        <v>18</v>
      </c>
      <c r="I77" s="9">
        <v>499</v>
      </c>
    </row>
    <row r="78" spans="1:9" ht="15.75" customHeight="1" x14ac:dyDescent="0.25">
      <c r="A78" s="5">
        <v>45466</v>
      </c>
      <c r="B78" s="6">
        <v>430</v>
      </c>
      <c r="C78" s="6">
        <v>292</v>
      </c>
      <c r="D78" s="7" t="s">
        <v>18</v>
      </c>
      <c r="E78" s="6">
        <v>2315</v>
      </c>
      <c r="F78" s="6">
        <v>2300</v>
      </c>
      <c r="G78" s="6">
        <v>405</v>
      </c>
      <c r="H78" s="7" t="s">
        <v>18</v>
      </c>
      <c r="I78" s="6">
        <v>499</v>
      </c>
    </row>
    <row r="79" spans="1:9" ht="15.75" customHeight="1" x14ac:dyDescent="0.25">
      <c r="A79" s="8">
        <v>45468</v>
      </c>
      <c r="B79" s="9">
        <v>430</v>
      </c>
      <c r="C79" s="9">
        <v>292</v>
      </c>
      <c r="D79" s="10" t="s">
        <v>18</v>
      </c>
      <c r="E79" s="9">
        <v>2315</v>
      </c>
      <c r="F79" s="9">
        <v>2300</v>
      </c>
      <c r="G79" s="9">
        <v>405</v>
      </c>
      <c r="H79" s="10" t="s">
        <v>18</v>
      </c>
      <c r="I79" s="9">
        <v>499</v>
      </c>
    </row>
    <row r="80" spans="1:9" ht="15.75" customHeight="1" x14ac:dyDescent="0.25">
      <c r="A80" s="5">
        <v>45470</v>
      </c>
      <c r="B80" s="6">
        <v>430</v>
      </c>
      <c r="C80" s="6">
        <v>292</v>
      </c>
      <c r="D80" s="7" t="s">
        <v>18</v>
      </c>
      <c r="E80" s="6">
        <v>2316</v>
      </c>
      <c r="F80" s="6">
        <v>2300</v>
      </c>
      <c r="G80" s="6">
        <v>405</v>
      </c>
      <c r="H80" s="7" t="s">
        <v>18</v>
      </c>
      <c r="I80" s="6">
        <v>499</v>
      </c>
    </row>
    <row r="81" spans="1:9" ht="15.75" customHeight="1" x14ac:dyDescent="0.25">
      <c r="A81" s="8">
        <v>45473</v>
      </c>
      <c r="B81" s="9">
        <v>430</v>
      </c>
      <c r="C81" s="9">
        <v>292</v>
      </c>
      <c r="D81" s="10" t="s">
        <v>18</v>
      </c>
      <c r="E81" s="9">
        <v>2316</v>
      </c>
      <c r="F81" s="9">
        <v>2300</v>
      </c>
      <c r="G81" s="9">
        <v>405</v>
      </c>
      <c r="H81" s="10" t="s">
        <v>18</v>
      </c>
      <c r="I81" s="9">
        <v>499</v>
      </c>
    </row>
    <row r="82" spans="1:9" ht="15.75" customHeight="1" x14ac:dyDescent="0.25">
      <c r="A82" s="5">
        <v>45475</v>
      </c>
      <c r="B82" s="6">
        <v>430</v>
      </c>
      <c r="C82" s="6">
        <v>292</v>
      </c>
      <c r="D82" s="7" t="s">
        <v>18</v>
      </c>
      <c r="E82" s="6">
        <v>2316</v>
      </c>
      <c r="F82" s="6">
        <v>2300</v>
      </c>
      <c r="G82" s="6">
        <v>405</v>
      </c>
      <c r="H82" s="7" t="s">
        <v>18</v>
      </c>
      <c r="I82" s="6">
        <v>499</v>
      </c>
    </row>
    <row r="83" spans="1:9" ht="15.75" customHeight="1" x14ac:dyDescent="0.25">
      <c r="A83" s="8">
        <v>45477</v>
      </c>
      <c r="B83" s="9">
        <v>430</v>
      </c>
      <c r="C83" s="9">
        <v>292</v>
      </c>
      <c r="D83" s="10" t="s">
        <v>18</v>
      </c>
      <c r="E83" s="9">
        <v>2316</v>
      </c>
      <c r="F83" s="9">
        <v>2300</v>
      </c>
      <c r="G83" s="9">
        <v>405</v>
      </c>
      <c r="H83" s="10" t="s">
        <v>18</v>
      </c>
      <c r="I83" s="9">
        <v>499</v>
      </c>
    </row>
    <row r="84" spans="1:9" ht="15.75" customHeight="1" x14ac:dyDescent="0.25">
      <c r="A84" s="5">
        <v>45481</v>
      </c>
      <c r="B84" s="6">
        <v>430</v>
      </c>
      <c r="C84" s="6">
        <v>292</v>
      </c>
      <c r="D84" s="7" t="s">
        <v>18</v>
      </c>
      <c r="E84" s="6">
        <v>2316</v>
      </c>
      <c r="F84" s="6">
        <v>2300</v>
      </c>
      <c r="G84" s="6">
        <v>405</v>
      </c>
      <c r="H84" s="7" t="s">
        <v>18</v>
      </c>
      <c r="I84" s="6">
        <v>499</v>
      </c>
    </row>
    <row r="85" spans="1:9" ht="15.75" customHeight="1" x14ac:dyDescent="0.25">
      <c r="A85" s="8">
        <v>45482</v>
      </c>
      <c r="B85" s="9">
        <v>430</v>
      </c>
      <c r="C85" s="9">
        <v>292</v>
      </c>
      <c r="D85" s="10" t="s">
        <v>18</v>
      </c>
      <c r="E85" s="9">
        <v>2350</v>
      </c>
      <c r="F85" s="9">
        <v>2300</v>
      </c>
      <c r="G85" s="9">
        <v>405</v>
      </c>
      <c r="H85" s="10" t="s">
        <v>18</v>
      </c>
      <c r="I85" s="9">
        <v>499</v>
      </c>
    </row>
    <row r="86" spans="1:9" ht="15.75" customHeight="1" x14ac:dyDescent="0.25">
      <c r="A86" s="5">
        <v>45484</v>
      </c>
      <c r="B86" s="6">
        <v>430</v>
      </c>
      <c r="C86" s="6">
        <v>292</v>
      </c>
      <c r="D86" s="7" t="s">
        <v>18</v>
      </c>
      <c r="E86" s="6">
        <v>2350</v>
      </c>
      <c r="F86" s="6">
        <v>2300</v>
      </c>
      <c r="G86" s="6">
        <v>405</v>
      </c>
      <c r="H86" s="7" t="s">
        <v>18</v>
      </c>
      <c r="I86" s="6">
        <v>450</v>
      </c>
    </row>
    <row r="87" spans="1:9" ht="15.75" customHeight="1" x14ac:dyDescent="0.25">
      <c r="A87" s="8">
        <v>45487</v>
      </c>
      <c r="B87" s="9">
        <v>430</v>
      </c>
      <c r="C87" s="9">
        <v>292</v>
      </c>
      <c r="D87" s="10" t="s">
        <v>18</v>
      </c>
      <c r="E87" s="9">
        <v>2350</v>
      </c>
      <c r="F87" s="9">
        <v>2300</v>
      </c>
      <c r="G87" s="9">
        <v>405</v>
      </c>
      <c r="H87" s="10" t="s">
        <v>18</v>
      </c>
      <c r="I87" s="9">
        <v>450</v>
      </c>
    </row>
    <row r="88" spans="1:9" ht="15.75" customHeight="1" x14ac:dyDescent="0.25">
      <c r="A88" s="5">
        <v>45490</v>
      </c>
      <c r="B88" s="6">
        <v>430</v>
      </c>
      <c r="C88" s="6">
        <v>292</v>
      </c>
      <c r="D88" s="7" t="s">
        <v>18</v>
      </c>
      <c r="E88" s="6">
        <v>2350</v>
      </c>
      <c r="F88" s="6">
        <v>2300</v>
      </c>
      <c r="G88" s="6">
        <v>405</v>
      </c>
      <c r="H88" s="7" t="s">
        <v>18</v>
      </c>
      <c r="I88" s="6">
        <v>450</v>
      </c>
    </row>
    <row r="89" spans="1:9" ht="15.75" customHeight="1" x14ac:dyDescent="0.25">
      <c r="A89" s="8">
        <v>45491</v>
      </c>
      <c r="B89" s="9">
        <v>430</v>
      </c>
      <c r="C89" s="9">
        <v>292</v>
      </c>
      <c r="D89" s="10" t="s">
        <v>18</v>
      </c>
      <c r="E89" s="9">
        <v>2350</v>
      </c>
      <c r="F89" s="9">
        <v>2300</v>
      </c>
      <c r="G89" s="9">
        <v>405</v>
      </c>
      <c r="H89" s="10" t="s">
        <v>18</v>
      </c>
      <c r="I89" s="9">
        <v>450</v>
      </c>
    </row>
    <row r="90" spans="1:9" ht="15.75" customHeight="1" x14ac:dyDescent="0.25">
      <c r="A90" s="5">
        <v>45494</v>
      </c>
      <c r="B90" s="6">
        <v>430</v>
      </c>
      <c r="C90" s="6">
        <v>292</v>
      </c>
      <c r="D90" s="7" t="s">
        <v>18</v>
      </c>
      <c r="E90" s="6">
        <v>2350</v>
      </c>
      <c r="F90" s="6">
        <v>2300</v>
      </c>
      <c r="G90" s="6">
        <v>405</v>
      </c>
      <c r="H90" s="7" t="s">
        <v>18</v>
      </c>
      <c r="I90" s="6">
        <v>450</v>
      </c>
    </row>
    <row r="91" spans="1:9" ht="15.75" customHeight="1" x14ac:dyDescent="0.25">
      <c r="A91" s="8">
        <v>45496</v>
      </c>
      <c r="B91" s="9">
        <v>430</v>
      </c>
      <c r="C91" s="9">
        <v>292</v>
      </c>
      <c r="D91" s="10" t="s">
        <v>18</v>
      </c>
      <c r="E91" s="9">
        <v>2350</v>
      </c>
      <c r="F91" s="9">
        <v>2300</v>
      </c>
      <c r="G91" s="9">
        <v>405</v>
      </c>
      <c r="H91" s="10" t="s">
        <v>18</v>
      </c>
      <c r="I91" s="9">
        <v>450</v>
      </c>
    </row>
    <row r="92" spans="1:9" ht="15.75" customHeight="1" x14ac:dyDescent="0.25">
      <c r="A92" s="5">
        <v>45498</v>
      </c>
      <c r="B92" s="6">
        <v>430</v>
      </c>
      <c r="C92" s="6">
        <v>292</v>
      </c>
      <c r="D92" s="7" t="s">
        <v>18</v>
      </c>
      <c r="E92" s="6">
        <v>2350</v>
      </c>
      <c r="F92" s="6">
        <v>2300</v>
      </c>
      <c r="G92" s="6">
        <v>405</v>
      </c>
      <c r="H92" s="7" t="s">
        <v>18</v>
      </c>
      <c r="I92" s="6">
        <v>450</v>
      </c>
    </row>
    <row r="93" spans="1:9" ht="15.75" customHeight="1" x14ac:dyDescent="0.25">
      <c r="A93" s="8">
        <v>45501</v>
      </c>
      <c r="B93" s="9">
        <v>430</v>
      </c>
      <c r="C93" s="9">
        <v>292</v>
      </c>
      <c r="D93" s="10" t="s">
        <v>18</v>
      </c>
      <c r="E93" s="9">
        <v>2350</v>
      </c>
      <c r="F93" s="9">
        <v>2300</v>
      </c>
      <c r="G93" s="9">
        <v>405</v>
      </c>
      <c r="H93" s="10" t="s">
        <v>18</v>
      </c>
      <c r="I93" s="9">
        <v>450</v>
      </c>
    </row>
    <row r="94" spans="1:9" ht="15.75" customHeight="1" x14ac:dyDescent="0.25">
      <c r="A94" s="5">
        <v>45503</v>
      </c>
      <c r="B94" s="6">
        <v>430</v>
      </c>
      <c r="C94" s="6">
        <v>292</v>
      </c>
      <c r="D94" s="7" t="s">
        <v>18</v>
      </c>
      <c r="E94" s="6">
        <v>2350</v>
      </c>
      <c r="F94" s="6">
        <v>2300</v>
      </c>
      <c r="G94" s="6">
        <v>405</v>
      </c>
      <c r="H94" s="7" t="s">
        <v>18</v>
      </c>
      <c r="I94" s="6">
        <v>450</v>
      </c>
    </row>
    <row r="95" spans="1:9" ht="15.75" customHeight="1" x14ac:dyDescent="0.25">
      <c r="A95" s="8">
        <v>45505</v>
      </c>
      <c r="B95" s="9">
        <v>430</v>
      </c>
      <c r="C95" s="9">
        <v>292</v>
      </c>
      <c r="D95" s="10" t="s">
        <v>18</v>
      </c>
      <c r="E95" s="9">
        <v>2350</v>
      </c>
      <c r="F95" s="9">
        <v>2175</v>
      </c>
      <c r="G95" s="9">
        <v>405</v>
      </c>
      <c r="H95" s="10" t="s">
        <v>18</v>
      </c>
      <c r="I95" s="9">
        <v>450</v>
      </c>
    </row>
    <row r="96" spans="1:9" ht="15.75" customHeight="1" x14ac:dyDescent="0.25">
      <c r="A96" s="5">
        <v>45508</v>
      </c>
      <c r="B96" s="6">
        <v>430</v>
      </c>
      <c r="C96" s="6">
        <v>292</v>
      </c>
      <c r="D96" s="7" t="s">
        <v>18</v>
      </c>
      <c r="E96" s="6">
        <v>2350</v>
      </c>
      <c r="F96" s="6">
        <v>2175</v>
      </c>
      <c r="G96" s="6">
        <v>405</v>
      </c>
      <c r="H96" s="7" t="s">
        <v>18</v>
      </c>
      <c r="I96" s="6">
        <v>450</v>
      </c>
    </row>
    <row r="97" spans="1:9" ht="15.75" customHeight="1" x14ac:dyDescent="0.25">
      <c r="A97" s="8">
        <v>45510</v>
      </c>
      <c r="B97" s="9">
        <v>430</v>
      </c>
      <c r="C97" s="9">
        <v>292</v>
      </c>
      <c r="D97" s="10" t="s">
        <v>18</v>
      </c>
      <c r="E97" s="9">
        <v>2350</v>
      </c>
      <c r="F97" s="9">
        <v>2283</v>
      </c>
      <c r="G97" s="9">
        <v>405</v>
      </c>
      <c r="H97" s="10" t="s">
        <v>18</v>
      </c>
      <c r="I97" s="9">
        <v>450</v>
      </c>
    </row>
    <row r="98" spans="1:9" ht="15.75" customHeight="1" x14ac:dyDescent="0.25">
      <c r="A98" s="5">
        <v>45512</v>
      </c>
      <c r="B98" s="6">
        <v>430</v>
      </c>
      <c r="C98" s="6">
        <v>292</v>
      </c>
      <c r="D98" s="7" t="s">
        <v>18</v>
      </c>
      <c r="E98" s="6">
        <v>2350</v>
      </c>
      <c r="F98" s="6">
        <v>2300</v>
      </c>
      <c r="G98" s="6">
        <v>405</v>
      </c>
      <c r="H98" s="7" t="s">
        <v>18</v>
      </c>
      <c r="I98" s="6">
        <v>450</v>
      </c>
    </row>
    <row r="99" spans="1:9" ht="15.75" customHeight="1" x14ac:dyDescent="0.25">
      <c r="A99" s="8">
        <v>45515</v>
      </c>
      <c r="B99" s="9">
        <v>430</v>
      </c>
      <c r="C99" s="9">
        <v>292</v>
      </c>
      <c r="D99" s="10" t="s">
        <v>18</v>
      </c>
      <c r="E99" s="9">
        <v>2350</v>
      </c>
      <c r="F99" s="9">
        <v>2300</v>
      </c>
      <c r="G99" s="9">
        <v>405</v>
      </c>
      <c r="H99" s="10" t="s">
        <v>18</v>
      </c>
      <c r="I99" s="9">
        <v>450</v>
      </c>
    </row>
    <row r="100" spans="1:9" ht="15.75" customHeight="1" x14ac:dyDescent="0.25">
      <c r="A100" s="5">
        <v>45517</v>
      </c>
      <c r="B100" s="6">
        <v>430</v>
      </c>
      <c r="C100" s="6">
        <v>292</v>
      </c>
      <c r="D100" s="7" t="s">
        <v>18</v>
      </c>
      <c r="E100" s="6">
        <v>2350</v>
      </c>
      <c r="F100" s="6">
        <v>2300</v>
      </c>
      <c r="G100" s="6">
        <v>405</v>
      </c>
      <c r="H100" s="7" t="s">
        <v>18</v>
      </c>
      <c r="I100" s="6">
        <v>450</v>
      </c>
    </row>
    <row r="101" spans="1:9" ht="15.75" customHeight="1" x14ac:dyDescent="0.25">
      <c r="A101" s="8">
        <v>45519</v>
      </c>
      <c r="B101" s="9">
        <v>430</v>
      </c>
      <c r="C101" s="9">
        <v>292</v>
      </c>
      <c r="D101" s="10" t="s">
        <v>18</v>
      </c>
      <c r="E101" s="9">
        <v>2350</v>
      </c>
      <c r="F101" s="9">
        <v>2300</v>
      </c>
      <c r="G101" s="9">
        <v>405</v>
      </c>
      <c r="H101" s="10" t="s">
        <v>18</v>
      </c>
      <c r="I101" s="9">
        <v>450</v>
      </c>
    </row>
    <row r="102" spans="1:9" ht="15.75" customHeight="1" x14ac:dyDescent="0.25">
      <c r="A102" s="5">
        <v>45522</v>
      </c>
      <c r="B102" s="6">
        <v>430</v>
      </c>
      <c r="C102" s="6">
        <v>292</v>
      </c>
      <c r="D102" s="7" t="s">
        <v>18</v>
      </c>
      <c r="E102" s="6">
        <v>2350</v>
      </c>
      <c r="F102" s="6">
        <v>2300</v>
      </c>
      <c r="G102" s="6">
        <v>405</v>
      </c>
      <c r="H102" s="7" t="s">
        <v>18</v>
      </c>
      <c r="I102" s="6">
        <v>450</v>
      </c>
    </row>
    <row r="103" spans="1:9" ht="15.75" customHeight="1" x14ac:dyDescent="0.25">
      <c r="A103" s="8">
        <v>45524</v>
      </c>
      <c r="B103" s="9">
        <v>430</v>
      </c>
      <c r="C103" s="9">
        <v>292</v>
      </c>
      <c r="D103" s="10" t="s">
        <v>18</v>
      </c>
      <c r="E103" s="9">
        <v>2350</v>
      </c>
      <c r="F103" s="9">
        <v>2300</v>
      </c>
      <c r="G103" s="9">
        <v>405</v>
      </c>
      <c r="H103" s="10" t="s">
        <v>18</v>
      </c>
      <c r="I103" s="9">
        <v>450</v>
      </c>
    </row>
    <row r="104" spans="1:9" ht="15.75" customHeight="1" x14ac:dyDescent="0.25">
      <c r="A104" s="5">
        <v>45526</v>
      </c>
      <c r="B104" s="6">
        <v>430</v>
      </c>
      <c r="C104" s="6">
        <v>292</v>
      </c>
      <c r="D104" s="7" t="s">
        <v>18</v>
      </c>
      <c r="E104" s="6">
        <v>2350</v>
      </c>
      <c r="F104" s="6">
        <v>2299</v>
      </c>
      <c r="G104" s="6">
        <v>405</v>
      </c>
      <c r="H104" s="7" t="s">
        <v>18</v>
      </c>
      <c r="I104" s="6">
        <v>450</v>
      </c>
    </row>
    <row r="105" spans="1:9" ht="15.75" customHeight="1" x14ac:dyDescent="0.25">
      <c r="A105" s="8">
        <v>45529</v>
      </c>
      <c r="B105" s="9">
        <v>430</v>
      </c>
      <c r="C105" s="9">
        <v>292</v>
      </c>
      <c r="D105" s="10" t="s">
        <v>18</v>
      </c>
      <c r="E105" s="9">
        <v>2350</v>
      </c>
      <c r="F105" s="9">
        <v>2299</v>
      </c>
      <c r="G105" s="9">
        <v>405</v>
      </c>
      <c r="H105" s="10" t="s">
        <v>18</v>
      </c>
      <c r="I105" s="9">
        <v>450</v>
      </c>
    </row>
    <row r="106" spans="1:9" ht="15.75" customHeight="1" x14ac:dyDescent="0.25">
      <c r="A106" s="5">
        <v>45531</v>
      </c>
      <c r="B106" s="6">
        <v>430</v>
      </c>
      <c r="C106" s="6">
        <v>292</v>
      </c>
      <c r="D106" s="7" t="s">
        <v>18</v>
      </c>
      <c r="E106" s="6">
        <v>2350</v>
      </c>
      <c r="F106" s="6">
        <v>2199</v>
      </c>
      <c r="G106" s="6">
        <v>405</v>
      </c>
      <c r="H106" s="7" t="s">
        <v>18</v>
      </c>
      <c r="I106" s="6">
        <v>450</v>
      </c>
    </row>
    <row r="107" spans="1:9" ht="15.75" customHeight="1" x14ac:dyDescent="0.25">
      <c r="A107" s="8">
        <v>45533</v>
      </c>
      <c r="B107" s="9">
        <v>430</v>
      </c>
      <c r="C107" s="9">
        <v>292</v>
      </c>
      <c r="D107" s="10" t="s">
        <v>18</v>
      </c>
      <c r="E107" s="9">
        <v>2350</v>
      </c>
      <c r="F107" s="9">
        <v>2199</v>
      </c>
      <c r="G107" s="9">
        <v>405</v>
      </c>
      <c r="H107" s="10" t="s">
        <v>18</v>
      </c>
      <c r="I107" s="9">
        <v>450</v>
      </c>
    </row>
    <row r="108" spans="1:9" ht="15.75" customHeight="1" x14ac:dyDescent="0.25">
      <c r="A108" s="5">
        <v>45536</v>
      </c>
      <c r="B108" s="6">
        <v>430</v>
      </c>
      <c r="C108" s="6">
        <v>292</v>
      </c>
      <c r="D108" s="7" t="s">
        <v>18</v>
      </c>
      <c r="E108" s="6">
        <v>2360</v>
      </c>
      <c r="F108" s="6">
        <v>2199</v>
      </c>
      <c r="G108" s="6">
        <v>405</v>
      </c>
      <c r="H108" s="7" t="s">
        <v>18</v>
      </c>
      <c r="I108" s="6">
        <v>450</v>
      </c>
    </row>
    <row r="109" spans="1:9" ht="15.75" customHeight="1" x14ac:dyDescent="0.25">
      <c r="A109" s="8">
        <v>45538</v>
      </c>
      <c r="B109" s="9">
        <v>430</v>
      </c>
      <c r="C109" s="9">
        <v>292</v>
      </c>
      <c r="D109" s="10" t="s">
        <v>18</v>
      </c>
      <c r="E109" s="9">
        <v>2180</v>
      </c>
      <c r="F109" s="9">
        <v>2295</v>
      </c>
      <c r="G109" s="9">
        <v>405</v>
      </c>
      <c r="H109" s="10" t="s">
        <v>18</v>
      </c>
      <c r="I109" s="9">
        <v>450</v>
      </c>
    </row>
    <row r="110" spans="1:9" ht="15.75" customHeight="1" x14ac:dyDescent="0.25">
      <c r="A110" s="5">
        <v>45540</v>
      </c>
      <c r="B110" s="6">
        <v>430</v>
      </c>
      <c r="C110" s="6">
        <v>292</v>
      </c>
      <c r="D110" s="7" t="s">
        <v>18</v>
      </c>
      <c r="E110" s="6">
        <v>2180</v>
      </c>
      <c r="F110" s="6">
        <v>2290</v>
      </c>
      <c r="G110" s="6">
        <v>405</v>
      </c>
      <c r="H110" s="7" t="s">
        <v>18</v>
      </c>
      <c r="I110" s="6">
        <v>450</v>
      </c>
    </row>
    <row r="111" spans="1:9" ht="15.75" customHeight="1" x14ac:dyDescent="0.25">
      <c r="A111" s="8">
        <v>45543</v>
      </c>
      <c r="B111" s="9">
        <v>430</v>
      </c>
      <c r="C111" s="9">
        <v>292</v>
      </c>
      <c r="D111" s="10" t="s">
        <v>18</v>
      </c>
      <c r="E111" s="9">
        <v>2180</v>
      </c>
      <c r="F111" s="9">
        <v>2290</v>
      </c>
      <c r="G111" s="9">
        <v>405</v>
      </c>
      <c r="H111" s="10" t="s">
        <v>18</v>
      </c>
      <c r="I111" s="9">
        <v>450</v>
      </c>
    </row>
    <row r="112" spans="1:9" ht="15.75" customHeight="1" x14ac:dyDescent="0.25">
      <c r="A112" s="5">
        <v>45545</v>
      </c>
      <c r="B112" s="6">
        <v>430</v>
      </c>
      <c r="C112" s="6">
        <v>292</v>
      </c>
      <c r="D112" s="7" t="s">
        <v>18</v>
      </c>
      <c r="E112" s="6">
        <v>2180</v>
      </c>
      <c r="F112" s="6">
        <v>2290</v>
      </c>
      <c r="G112" s="6">
        <v>405</v>
      </c>
      <c r="H112" s="7" t="s">
        <v>18</v>
      </c>
      <c r="I112" s="6">
        <v>450</v>
      </c>
    </row>
    <row r="113" spans="1:9" ht="15.75" customHeight="1" x14ac:dyDescent="0.25">
      <c r="A113" s="8">
        <v>45547</v>
      </c>
      <c r="B113" s="9">
        <v>400</v>
      </c>
      <c r="C113" s="9">
        <v>292</v>
      </c>
      <c r="D113" s="10" t="s">
        <v>18</v>
      </c>
      <c r="E113" s="9">
        <v>2180</v>
      </c>
      <c r="F113" s="9">
        <v>2294</v>
      </c>
      <c r="G113" s="9">
        <v>405</v>
      </c>
      <c r="H113" s="10" t="s">
        <v>18</v>
      </c>
      <c r="I113" s="9">
        <v>450</v>
      </c>
    </row>
    <row r="114" spans="1:9" ht="15.75" customHeight="1" x14ac:dyDescent="0.25">
      <c r="A114" s="5">
        <v>45550</v>
      </c>
      <c r="B114" s="6">
        <v>400</v>
      </c>
      <c r="C114" s="6">
        <v>292</v>
      </c>
      <c r="D114" s="7" t="s">
        <v>18</v>
      </c>
      <c r="E114" s="6">
        <v>2180</v>
      </c>
      <c r="F114" s="6">
        <v>2295</v>
      </c>
      <c r="G114" s="6">
        <v>405</v>
      </c>
      <c r="H114" s="7" t="s">
        <v>18</v>
      </c>
      <c r="I114" s="6">
        <v>450</v>
      </c>
    </row>
    <row r="115" spans="1:9" ht="15.75" customHeight="1" x14ac:dyDescent="0.25">
      <c r="A115" s="8">
        <v>45552</v>
      </c>
      <c r="B115" s="9">
        <v>400</v>
      </c>
      <c r="C115" s="9">
        <v>292</v>
      </c>
      <c r="D115" s="10" t="s">
        <v>18</v>
      </c>
      <c r="E115" s="9">
        <v>2180</v>
      </c>
      <c r="F115" s="9">
        <v>2250</v>
      </c>
      <c r="G115" s="9">
        <v>405</v>
      </c>
      <c r="H115" s="10" t="s">
        <v>18</v>
      </c>
      <c r="I115" s="9">
        <v>405</v>
      </c>
    </row>
    <row r="116" spans="1:9" ht="15.75" customHeight="1" x14ac:dyDescent="0.25">
      <c r="A116" s="5">
        <v>45554</v>
      </c>
      <c r="B116" s="6">
        <v>400</v>
      </c>
      <c r="C116" s="6">
        <v>292</v>
      </c>
      <c r="D116" s="7" t="s">
        <v>18</v>
      </c>
      <c r="E116" s="6">
        <v>2180</v>
      </c>
      <c r="F116" s="6">
        <v>2250</v>
      </c>
      <c r="G116" s="6">
        <v>405</v>
      </c>
      <c r="H116" s="7" t="s">
        <v>18</v>
      </c>
      <c r="I116" s="6">
        <v>405</v>
      </c>
    </row>
    <row r="117" spans="1:9" ht="15.75" customHeight="1" x14ac:dyDescent="0.25">
      <c r="A117" s="8">
        <v>45557</v>
      </c>
      <c r="B117" s="9">
        <v>400</v>
      </c>
      <c r="C117" s="9">
        <v>292</v>
      </c>
      <c r="D117" s="10" t="s">
        <v>18</v>
      </c>
      <c r="E117" s="9">
        <v>2180</v>
      </c>
      <c r="F117" s="9">
        <v>2295</v>
      </c>
      <c r="G117" s="9">
        <v>405</v>
      </c>
      <c r="H117" s="10" t="s">
        <v>18</v>
      </c>
      <c r="I117" s="9">
        <v>405</v>
      </c>
    </row>
    <row r="118" spans="1:9" ht="15.75" customHeight="1" x14ac:dyDescent="0.25">
      <c r="A118" s="5">
        <v>45559</v>
      </c>
      <c r="B118" s="6">
        <v>400</v>
      </c>
      <c r="C118" s="6">
        <v>292</v>
      </c>
      <c r="D118" s="7" t="s">
        <v>18</v>
      </c>
      <c r="E118" s="6">
        <v>2185</v>
      </c>
      <c r="F118" s="6">
        <v>2250</v>
      </c>
      <c r="G118" s="6">
        <v>405</v>
      </c>
      <c r="H118" s="7" t="s">
        <v>18</v>
      </c>
      <c r="I118" s="6">
        <v>405</v>
      </c>
    </row>
    <row r="119" spans="1:9" ht="15.75" customHeight="1" x14ac:dyDescent="0.25">
      <c r="A119" s="8">
        <v>45561</v>
      </c>
      <c r="B119" s="9">
        <v>405</v>
      </c>
      <c r="C119" s="9">
        <v>292</v>
      </c>
      <c r="D119" s="10" t="s">
        <v>18</v>
      </c>
      <c r="E119" s="9">
        <v>2185</v>
      </c>
      <c r="F119" s="9">
        <v>2294</v>
      </c>
      <c r="G119" s="9">
        <v>405</v>
      </c>
      <c r="H119" s="10" t="s">
        <v>18</v>
      </c>
      <c r="I119" s="9">
        <v>405</v>
      </c>
    </row>
    <row r="120" spans="1:9" ht="15.75" customHeight="1" x14ac:dyDescent="0.25">
      <c r="A120" s="5">
        <v>45564</v>
      </c>
      <c r="B120" s="6">
        <v>405</v>
      </c>
      <c r="C120" s="6">
        <v>292</v>
      </c>
      <c r="D120" s="7" t="s">
        <v>18</v>
      </c>
      <c r="E120" s="6">
        <v>2185</v>
      </c>
      <c r="F120" s="6">
        <v>2294</v>
      </c>
      <c r="G120" s="6">
        <v>405</v>
      </c>
      <c r="H120" s="7" t="s">
        <v>18</v>
      </c>
      <c r="I120" s="6">
        <v>405</v>
      </c>
    </row>
    <row r="121" spans="1:9" ht="15.75" customHeight="1" x14ac:dyDescent="0.25">
      <c r="A121" s="8">
        <v>45566</v>
      </c>
      <c r="B121" s="9">
        <v>405</v>
      </c>
      <c r="C121" s="9">
        <v>292</v>
      </c>
      <c r="D121" s="10" t="s">
        <v>18</v>
      </c>
      <c r="E121" s="9">
        <v>2185</v>
      </c>
      <c r="F121" s="9">
        <v>2195</v>
      </c>
      <c r="G121" s="9">
        <v>405</v>
      </c>
      <c r="H121" s="10" t="s">
        <v>18</v>
      </c>
      <c r="I121" s="9">
        <v>405</v>
      </c>
    </row>
    <row r="122" spans="1:9" ht="15.75" customHeight="1" x14ac:dyDescent="0.25">
      <c r="A122" s="5">
        <v>45568</v>
      </c>
      <c r="B122" s="6">
        <v>405</v>
      </c>
      <c r="C122" s="6">
        <v>292</v>
      </c>
      <c r="D122" s="7" t="s">
        <v>18</v>
      </c>
      <c r="E122" s="6">
        <v>2280</v>
      </c>
      <c r="F122" s="6">
        <v>2293</v>
      </c>
      <c r="G122" s="6">
        <v>405</v>
      </c>
      <c r="H122" s="7" t="s">
        <v>18</v>
      </c>
      <c r="I122" s="6">
        <v>405</v>
      </c>
    </row>
    <row r="123" spans="1:9" ht="15.75" customHeight="1" x14ac:dyDescent="0.25">
      <c r="A123" s="8">
        <v>45571</v>
      </c>
      <c r="B123" s="9">
        <v>405</v>
      </c>
      <c r="C123" s="9">
        <v>292</v>
      </c>
      <c r="D123" s="10" t="s">
        <v>18</v>
      </c>
      <c r="E123" s="9">
        <v>2280</v>
      </c>
      <c r="F123" s="9">
        <v>2293</v>
      </c>
      <c r="G123" s="9">
        <v>405</v>
      </c>
      <c r="H123" s="10" t="s">
        <v>18</v>
      </c>
      <c r="I123" s="9">
        <v>405</v>
      </c>
    </row>
    <row r="124" spans="1:9" ht="15.75" customHeight="1" x14ac:dyDescent="0.25">
      <c r="A124" s="5">
        <v>45573</v>
      </c>
      <c r="B124" s="6">
        <v>406</v>
      </c>
      <c r="C124" s="6">
        <v>292</v>
      </c>
      <c r="D124" s="7" t="s">
        <v>18</v>
      </c>
      <c r="E124" s="6">
        <v>2280</v>
      </c>
      <c r="F124" s="6">
        <v>2292</v>
      </c>
      <c r="G124" s="6">
        <v>405</v>
      </c>
      <c r="H124" s="7" t="s">
        <v>18</v>
      </c>
      <c r="I124" s="6">
        <v>405</v>
      </c>
    </row>
    <row r="125" spans="1:9" ht="15.75" customHeight="1" x14ac:dyDescent="0.25">
      <c r="A125" s="8">
        <v>45575</v>
      </c>
      <c r="B125" s="9">
        <v>425</v>
      </c>
      <c r="C125" s="9">
        <v>292</v>
      </c>
      <c r="D125" s="10" t="s">
        <v>18</v>
      </c>
      <c r="E125" s="9">
        <v>2290</v>
      </c>
      <c r="F125" s="9">
        <v>2289</v>
      </c>
      <c r="G125" s="9">
        <v>405</v>
      </c>
      <c r="H125" s="10" t="s">
        <v>18</v>
      </c>
      <c r="I125" s="9">
        <v>405</v>
      </c>
    </row>
    <row r="126" spans="1:9" ht="15.75" customHeight="1" x14ac:dyDescent="0.25">
      <c r="A126" s="5">
        <v>45578</v>
      </c>
      <c r="B126" s="6">
        <v>425</v>
      </c>
      <c r="C126" s="6">
        <v>292</v>
      </c>
      <c r="D126" s="7" t="s">
        <v>18</v>
      </c>
      <c r="E126" s="6">
        <v>2290</v>
      </c>
      <c r="F126" s="6">
        <v>2289</v>
      </c>
      <c r="G126" s="6">
        <v>405</v>
      </c>
      <c r="H126" s="7" t="s">
        <v>18</v>
      </c>
      <c r="I126" s="6">
        <v>405</v>
      </c>
    </row>
    <row r="127" spans="1:9" ht="15.75" customHeight="1" x14ac:dyDescent="0.25">
      <c r="A127" s="8">
        <v>45580</v>
      </c>
      <c r="B127" s="9">
        <v>425</v>
      </c>
      <c r="C127" s="9">
        <v>292</v>
      </c>
      <c r="D127" s="10" t="s">
        <v>18</v>
      </c>
      <c r="E127" s="9">
        <v>2290</v>
      </c>
      <c r="F127" s="9">
        <v>2289</v>
      </c>
      <c r="G127" s="9">
        <v>405</v>
      </c>
      <c r="H127" s="10" t="s">
        <v>18</v>
      </c>
      <c r="I127" s="9">
        <v>405</v>
      </c>
    </row>
    <row r="128" spans="1:9" ht="15.75" customHeight="1" x14ac:dyDescent="0.25">
      <c r="A128" s="5">
        <v>45582</v>
      </c>
      <c r="B128" s="6">
        <v>425</v>
      </c>
      <c r="C128" s="6">
        <v>292</v>
      </c>
      <c r="D128" s="7" t="s">
        <v>18</v>
      </c>
      <c r="E128" s="6">
        <v>2290</v>
      </c>
      <c r="F128" s="6">
        <v>2280</v>
      </c>
      <c r="G128" s="6">
        <v>405</v>
      </c>
      <c r="H128" s="7" t="s">
        <v>18</v>
      </c>
      <c r="I128" s="6">
        <v>405</v>
      </c>
    </row>
    <row r="129" spans="1:9" ht="15.75" customHeight="1" x14ac:dyDescent="0.25">
      <c r="A129" s="8">
        <v>45585</v>
      </c>
      <c r="B129" s="9">
        <v>425</v>
      </c>
      <c r="C129" s="9">
        <v>292</v>
      </c>
      <c r="D129" s="10" t="s">
        <v>18</v>
      </c>
      <c r="E129" s="9">
        <v>2290</v>
      </c>
      <c r="F129" s="9">
        <v>2280</v>
      </c>
      <c r="G129" s="9">
        <v>405</v>
      </c>
      <c r="H129" s="10" t="s">
        <v>18</v>
      </c>
      <c r="I129" s="9">
        <v>405</v>
      </c>
    </row>
    <row r="130" spans="1:9" ht="15.75" customHeight="1" x14ac:dyDescent="0.25">
      <c r="A130" s="5">
        <v>45587</v>
      </c>
      <c r="B130" s="6">
        <v>425</v>
      </c>
      <c r="C130" s="6">
        <v>292</v>
      </c>
      <c r="D130" s="7" t="s">
        <v>18</v>
      </c>
      <c r="E130" s="6">
        <v>2290</v>
      </c>
      <c r="F130" s="6">
        <v>2279</v>
      </c>
      <c r="G130" s="6">
        <v>405</v>
      </c>
      <c r="H130" s="7" t="s">
        <v>18</v>
      </c>
      <c r="I130" s="6">
        <v>405</v>
      </c>
    </row>
    <row r="131" spans="1:9" ht="15.75" customHeight="1" x14ac:dyDescent="0.25">
      <c r="A131" s="8">
        <v>45589</v>
      </c>
      <c r="B131" s="9">
        <v>425</v>
      </c>
      <c r="C131" s="9">
        <v>292</v>
      </c>
      <c r="D131" s="10" t="s">
        <v>18</v>
      </c>
      <c r="E131" s="9">
        <v>2291</v>
      </c>
      <c r="F131" s="9">
        <v>2279</v>
      </c>
      <c r="G131" s="9">
        <v>405</v>
      </c>
      <c r="H131" s="10" t="s">
        <v>18</v>
      </c>
      <c r="I131" s="9">
        <v>405</v>
      </c>
    </row>
    <row r="132" spans="1:9" ht="15.75" customHeight="1" x14ac:dyDescent="0.25">
      <c r="A132" s="5">
        <v>45592</v>
      </c>
      <c r="B132" s="6">
        <v>425</v>
      </c>
      <c r="C132" s="6">
        <v>292</v>
      </c>
      <c r="D132" s="7" t="s">
        <v>18</v>
      </c>
      <c r="E132" s="6">
        <v>2291</v>
      </c>
      <c r="F132" s="6">
        <v>2279</v>
      </c>
      <c r="G132" s="6">
        <v>405</v>
      </c>
      <c r="H132" s="7" t="s">
        <v>18</v>
      </c>
      <c r="I132" s="6">
        <v>405</v>
      </c>
    </row>
    <row r="133" spans="1:9" ht="15.75" customHeight="1" x14ac:dyDescent="0.25">
      <c r="A133" s="8">
        <v>45594</v>
      </c>
      <c r="B133" s="9">
        <v>425</v>
      </c>
      <c r="C133" s="9">
        <v>292</v>
      </c>
      <c r="D133" s="10" t="s">
        <v>18</v>
      </c>
      <c r="E133" s="9">
        <v>2291</v>
      </c>
      <c r="F133" s="9">
        <v>2279</v>
      </c>
      <c r="G133" s="9">
        <v>405</v>
      </c>
      <c r="H133" s="10" t="s">
        <v>18</v>
      </c>
      <c r="I133" s="9">
        <v>405</v>
      </c>
    </row>
    <row r="134" spans="1:9" ht="15.75" customHeight="1" x14ac:dyDescent="0.25">
      <c r="A134" s="5">
        <v>45596</v>
      </c>
      <c r="B134" s="6">
        <v>425</v>
      </c>
      <c r="C134" s="6">
        <v>292</v>
      </c>
      <c r="D134" s="7" t="s">
        <v>18</v>
      </c>
      <c r="E134" s="6">
        <v>2291</v>
      </c>
      <c r="F134" s="6">
        <v>2279</v>
      </c>
      <c r="G134" s="6">
        <v>405</v>
      </c>
      <c r="H134" s="7" t="s">
        <v>18</v>
      </c>
      <c r="I134" s="6">
        <v>405</v>
      </c>
    </row>
    <row r="135" spans="1:9" ht="15.75" customHeight="1" x14ac:dyDescent="0.25">
      <c r="A135" s="8">
        <v>45599</v>
      </c>
      <c r="B135" s="9">
        <v>425</v>
      </c>
      <c r="C135" s="9">
        <v>292</v>
      </c>
      <c r="D135" s="10" t="s">
        <v>18</v>
      </c>
      <c r="E135" s="9">
        <v>2291</v>
      </c>
      <c r="F135" s="9">
        <v>2280</v>
      </c>
      <c r="G135" s="9">
        <v>400</v>
      </c>
      <c r="H135" s="10" t="s">
        <v>18</v>
      </c>
      <c r="I135" s="9">
        <v>405</v>
      </c>
    </row>
    <row r="136" spans="1:9" ht="15.75" customHeight="1" x14ac:dyDescent="0.25">
      <c r="A136" s="5">
        <v>45601</v>
      </c>
      <c r="B136" s="6">
        <v>425</v>
      </c>
      <c r="C136" s="6">
        <v>292</v>
      </c>
      <c r="D136" s="7" t="s">
        <v>18</v>
      </c>
      <c r="E136" s="6">
        <v>2291</v>
      </c>
      <c r="F136" s="6">
        <v>2250</v>
      </c>
      <c r="G136" s="6">
        <v>400</v>
      </c>
      <c r="H136" s="7" t="s">
        <v>18</v>
      </c>
      <c r="I136" s="6">
        <v>405</v>
      </c>
    </row>
    <row r="137" spans="1:9" ht="15.75" customHeight="1" x14ac:dyDescent="0.25">
      <c r="A137" s="8">
        <v>45603</v>
      </c>
      <c r="B137" s="9">
        <v>425</v>
      </c>
      <c r="C137" s="9">
        <v>292</v>
      </c>
      <c r="D137" s="10" t="s">
        <v>18</v>
      </c>
      <c r="E137" s="9">
        <v>2291</v>
      </c>
      <c r="F137" s="9">
        <v>2240</v>
      </c>
      <c r="G137" s="9">
        <v>400</v>
      </c>
      <c r="H137" s="10" t="s">
        <v>18</v>
      </c>
      <c r="I137" s="9">
        <v>405</v>
      </c>
    </row>
    <row r="138" spans="1:9" ht="15.75" customHeight="1" x14ac:dyDescent="0.25">
      <c r="A138" s="5">
        <v>45606</v>
      </c>
      <c r="B138" s="6">
        <v>425</v>
      </c>
      <c r="C138" s="6">
        <v>292</v>
      </c>
      <c r="D138" s="7" t="s">
        <v>18</v>
      </c>
      <c r="E138" s="6">
        <v>2291</v>
      </c>
      <c r="F138" s="6">
        <v>2279</v>
      </c>
      <c r="G138" s="6">
        <v>400</v>
      </c>
      <c r="H138" s="7" t="s">
        <v>18</v>
      </c>
      <c r="I138" s="6">
        <v>405</v>
      </c>
    </row>
    <row r="139" spans="1:9" ht="15.75" customHeight="1" x14ac:dyDescent="0.25">
      <c r="A139" s="8">
        <v>45608</v>
      </c>
      <c r="B139" s="9">
        <v>425</v>
      </c>
      <c r="C139" s="9">
        <v>292</v>
      </c>
      <c r="D139" s="10" t="s">
        <v>18</v>
      </c>
      <c r="E139" s="9">
        <v>2291</v>
      </c>
      <c r="F139" s="9">
        <v>2240</v>
      </c>
      <c r="G139" s="9">
        <v>400</v>
      </c>
      <c r="H139" s="10" t="s">
        <v>18</v>
      </c>
      <c r="I139" s="9">
        <v>405</v>
      </c>
    </row>
    <row r="140" spans="1:9" ht="15.75" customHeight="1" x14ac:dyDescent="0.25">
      <c r="A140" s="5">
        <v>45610</v>
      </c>
      <c r="B140" s="6">
        <v>425</v>
      </c>
      <c r="C140" s="6">
        <v>292</v>
      </c>
      <c r="D140" s="7" t="s">
        <v>18</v>
      </c>
      <c r="E140" s="6">
        <v>2296</v>
      </c>
      <c r="F140" s="6">
        <v>2279</v>
      </c>
      <c r="G140" s="6">
        <v>400</v>
      </c>
      <c r="H140" s="7" t="s">
        <v>18</v>
      </c>
      <c r="I140" s="6">
        <v>405</v>
      </c>
    </row>
    <row r="141" spans="1:9" ht="15.75" customHeight="1" x14ac:dyDescent="0.25">
      <c r="A141" s="8">
        <v>45613</v>
      </c>
      <c r="B141" s="9">
        <v>430</v>
      </c>
      <c r="C141" s="9">
        <v>292</v>
      </c>
      <c r="D141" s="10" t="s">
        <v>18</v>
      </c>
      <c r="E141" s="9">
        <v>2296</v>
      </c>
      <c r="F141" s="9">
        <v>2278</v>
      </c>
      <c r="G141" s="9">
        <v>400</v>
      </c>
      <c r="H141" s="10" t="s">
        <v>18</v>
      </c>
      <c r="I141" s="9">
        <v>405</v>
      </c>
    </row>
    <row r="142" spans="1:9" ht="15.75" customHeight="1" x14ac:dyDescent="0.25">
      <c r="A142" s="5">
        <v>45615</v>
      </c>
      <c r="B142" s="6">
        <v>430</v>
      </c>
      <c r="C142" s="6">
        <v>292</v>
      </c>
      <c r="D142" s="7" t="s">
        <v>18</v>
      </c>
      <c r="E142" s="6">
        <v>2320</v>
      </c>
      <c r="F142" s="6">
        <v>2278</v>
      </c>
      <c r="G142" s="6">
        <v>400</v>
      </c>
      <c r="H142" s="7" t="s">
        <v>18</v>
      </c>
      <c r="I142" s="6">
        <v>405</v>
      </c>
    </row>
    <row r="143" spans="1:9" ht="15.75" customHeight="1" x14ac:dyDescent="0.25">
      <c r="A143" s="8">
        <v>45617</v>
      </c>
      <c r="B143" s="9">
        <v>425</v>
      </c>
      <c r="C143" s="9">
        <v>292</v>
      </c>
      <c r="D143" s="10" t="s">
        <v>18</v>
      </c>
      <c r="E143" s="9">
        <v>2320</v>
      </c>
      <c r="F143" s="9">
        <v>2278</v>
      </c>
      <c r="G143" s="9">
        <v>400</v>
      </c>
      <c r="H143" s="10" t="s">
        <v>18</v>
      </c>
      <c r="I143" s="9">
        <v>405</v>
      </c>
    </row>
    <row r="144" spans="1:9" ht="15.75" customHeight="1" x14ac:dyDescent="0.25">
      <c r="A144" s="5">
        <v>45620</v>
      </c>
      <c r="B144" s="6">
        <v>425</v>
      </c>
      <c r="C144" s="6">
        <v>292</v>
      </c>
      <c r="D144" s="7" t="s">
        <v>18</v>
      </c>
      <c r="E144" s="6">
        <v>2320</v>
      </c>
      <c r="F144" s="6">
        <v>2278</v>
      </c>
      <c r="G144" s="6">
        <v>400</v>
      </c>
      <c r="H144" s="7" t="s">
        <v>18</v>
      </c>
      <c r="I144" s="6">
        <v>405</v>
      </c>
    </row>
    <row r="145" spans="1:9" ht="15.75" customHeight="1" x14ac:dyDescent="0.25">
      <c r="A145" s="8">
        <v>45622</v>
      </c>
      <c r="B145" s="9">
        <v>425</v>
      </c>
      <c r="C145" s="9">
        <v>292</v>
      </c>
      <c r="D145" s="10" t="s">
        <v>18</v>
      </c>
      <c r="E145" s="9">
        <v>2320</v>
      </c>
      <c r="F145" s="9">
        <v>2273</v>
      </c>
      <c r="G145" s="9">
        <v>400</v>
      </c>
      <c r="H145" s="10" t="s">
        <v>18</v>
      </c>
      <c r="I145" s="9">
        <v>405</v>
      </c>
    </row>
    <row r="146" spans="1:9" ht="15.75" customHeight="1" x14ac:dyDescent="0.25">
      <c r="A146" s="5">
        <v>45624</v>
      </c>
      <c r="B146" s="6">
        <v>425</v>
      </c>
      <c r="C146" s="6">
        <v>292</v>
      </c>
      <c r="D146" s="7" t="s">
        <v>18</v>
      </c>
      <c r="E146" s="6">
        <v>2320</v>
      </c>
      <c r="F146" s="6">
        <v>2273</v>
      </c>
      <c r="G146" s="6">
        <v>400</v>
      </c>
      <c r="H146" s="7" t="s">
        <v>18</v>
      </c>
      <c r="I146" s="6">
        <v>405</v>
      </c>
    </row>
    <row r="147" spans="1:9" ht="15.75" customHeight="1" x14ac:dyDescent="0.25">
      <c r="A147" s="8">
        <v>45627</v>
      </c>
      <c r="B147" s="9">
        <v>425</v>
      </c>
      <c r="C147" s="9">
        <v>292</v>
      </c>
      <c r="D147" s="10" t="s">
        <v>18</v>
      </c>
      <c r="E147" s="9">
        <v>2320</v>
      </c>
      <c r="F147" s="9">
        <v>2273</v>
      </c>
      <c r="G147" s="9">
        <v>400</v>
      </c>
      <c r="H147" s="10" t="s">
        <v>18</v>
      </c>
      <c r="I147" s="9">
        <v>405</v>
      </c>
    </row>
    <row r="148" spans="1:9" ht="15.75" customHeight="1" x14ac:dyDescent="0.25">
      <c r="A148" s="5">
        <v>45629</v>
      </c>
      <c r="B148" s="6">
        <v>425</v>
      </c>
      <c r="C148" s="6">
        <v>292</v>
      </c>
      <c r="D148" s="7" t="s">
        <v>18</v>
      </c>
      <c r="E148" s="6">
        <v>2320</v>
      </c>
      <c r="F148" s="6">
        <v>2258</v>
      </c>
      <c r="G148" s="6">
        <v>400</v>
      </c>
      <c r="H148" s="7" t="s">
        <v>18</v>
      </c>
      <c r="I148" s="6">
        <v>405</v>
      </c>
    </row>
    <row r="149" spans="1:9" ht="15.75" customHeight="1" x14ac:dyDescent="0.25">
      <c r="A149" s="8">
        <v>45631</v>
      </c>
      <c r="B149" s="9">
        <v>425</v>
      </c>
      <c r="C149" s="9">
        <v>292</v>
      </c>
      <c r="D149" s="10" t="s">
        <v>18</v>
      </c>
      <c r="E149" s="9">
        <v>2350</v>
      </c>
      <c r="F149" s="9">
        <v>2240</v>
      </c>
      <c r="G149" s="9">
        <v>400</v>
      </c>
      <c r="H149" s="10" t="s">
        <v>18</v>
      </c>
      <c r="I149" s="9">
        <v>405</v>
      </c>
    </row>
    <row r="150" spans="1:9" ht="15.75" customHeight="1" x14ac:dyDescent="0.25">
      <c r="A150" s="5">
        <v>45634</v>
      </c>
      <c r="B150" s="6">
        <v>425</v>
      </c>
      <c r="C150" s="6">
        <v>292</v>
      </c>
      <c r="D150" s="7" t="s">
        <v>18</v>
      </c>
      <c r="E150" s="6">
        <v>2350</v>
      </c>
      <c r="F150" s="6">
        <v>2240</v>
      </c>
      <c r="G150" s="6">
        <v>400</v>
      </c>
      <c r="H150" s="7" t="s">
        <v>18</v>
      </c>
      <c r="I150" s="6">
        <v>405</v>
      </c>
    </row>
    <row r="151" spans="1:9" ht="15.75" customHeight="1" x14ac:dyDescent="0.25">
      <c r="A151" s="8">
        <v>45636</v>
      </c>
      <c r="B151" s="9">
        <v>425</v>
      </c>
      <c r="C151" s="9">
        <v>292</v>
      </c>
      <c r="D151" s="10" t="s">
        <v>18</v>
      </c>
      <c r="E151" s="9">
        <v>2350</v>
      </c>
      <c r="F151" s="9">
        <v>2240</v>
      </c>
      <c r="G151" s="9">
        <v>400</v>
      </c>
      <c r="H151" s="10" t="s">
        <v>18</v>
      </c>
      <c r="I151" s="9">
        <v>405</v>
      </c>
    </row>
    <row r="152" spans="1:9" ht="15.75" customHeight="1" x14ac:dyDescent="0.25">
      <c r="A152" s="5">
        <v>45638</v>
      </c>
      <c r="B152" s="6">
        <v>425</v>
      </c>
      <c r="C152" s="6">
        <v>292</v>
      </c>
      <c r="D152" s="7" t="s">
        <v>18</v>
      </c>
      <c r="E152" s="6">
        <v>2350</v>
      </c>
      <c r="F152" s="6">
        <v>2238</v>
      </c>
      <c r="G152" s="6">
        <v>400</v>
      </c>
      <c r="H152" s="7" t="s">
        <v>18</v>
      </c>
      <c r="I152" s="6">
        <v>405</v>
      </c>
    </row>
    <row r="153" spans="1:9" ht="15.75" customHeight="1" x14ac:dyDescent="0.25">
      <c r="A153" s="8">
        <v>45641</v>
      </c>
      <c r="B153" s="9">
        <v>425</v>
      </c>
      <c r="C153" s="9">
        <v>292</v>
      </c>
      <c r="D153" s="10" t="s">
        <v>18</v>
      </c>
      <c r="E153" s="9">
        <v>2350</v>
      </c>
      <c r="F153" s="9">
        <v>2238</v>
      </c>
      <c r="G153" s="9">
        <v>400</v>
      </c>
      <c r="H153" s="10" t="s">
        <v>18</v>
      </c>
      <c r="I153" s="9">
        <v>405</v>
      </c>
    </row>
    <row r="154" spans="1:9" ht="15.75" customHeight="1" x14ac:dyDescent="0.25">
      <c r="A154" s="5">
        <v>45643</v>
      </c>
      <c r="B154" s="6">
        <v>425</v>
      </c>
      <c r="C154" s="6">
        <v>292</v>
      </c>
      <c r="D154" s="7" t="s">
        <v>18</v>
      </c>
      <c r="E154" s="6">
        <v>2350</v>
      </c>
      <c r="F154" s="6">
        <v>2238</v>
      </c>
      <c r="G154" s="6">
        <v>400</v>
      </c>
      <c r="H154" s="7" t="s">
        <v>18</v>
      </c>
      <c r="I154" s="6">
        <v>405</v>
      </c>
    </row>
    <row r="155" spans="1:9" ht="15.75" customHeight="1" x14ac:dyDescent="0.25">
      <c r="A155" s="8">
        <v>45645</v>
      </c>
      <c r="B155" s="9">
        <v>425</v>
      </c>
      <c r="C155" s="9">
        <v>292</v>
      </c>
      <c r="D155" s="10" t="s">
        <v>18</v>
      </c>
      <c r="E155" s="9">
        <v>2320</v>
      </c>
      <c r="F155" s="9">
        <v>2238</v>
      </c>
      <c r="G155" s="9">
        <v>400</v>
      </c>
      <c r="H155" s="10" t="s">
        <v>18</v>
      </c>
      <c r="I155" s="9">
        <v>405</v>
      </c>
    </row>
    <row r="156" spans="1:9" ht="15.75" customHeight="1" x14ac:dyDescent="0.25">
      <c r="A156" s="5">
        <v>45648</v>
      </c>
      <c r="B156" s="6">
        <v>425</v>
      </c>
      <c r="C156" s="6">
        <v>292</v>
      </c>
      <c r="D156" s="7" t="s">
        <v>18</v>
      </c>
      <c r="E156" s="6">
        <v>2320</v>
      </c>
      <c r="F156" s="6">
        <v>2237</v>
      </c>
      <c r="G156" s="6">
        <v>400</v>
      </c>
      <c r="H156" s="7" t="s">
        <v>18</v>
      </c>
      <c r="I156" s="6">
        <v>405</v>
      </c>
    </row>
    <row r="157" spans="1:9" ht="15.75" customHeight="1" x14ac:dyDescent="0.25">
      <c r="A157" s="8">
        <v>45650</v>
      </c>
      <c r="B157" s="9">
        <v>425</v>
      </c>
      <c r="C157" s="9">
        <v>292</v>
      </c>
      <c r="D157" s="10" t="s">
        <v>18</v>
      </c>
      <c r="E157" s="9">
        <v>2350</v>
      </c>
      <c r="F157" s="9">
        <v>2235</v>
      </c>
      <c r="G157" s="9">
        <v>400</v>
      </c>
      <c r="H157" s="10" t="s">
        <v>18</v>
      </c>
      <c r="I157" s="9">
        <v>405</v>
      </c>
    </row>
    <row r="158" spans="1:9" ht="15.75" customHeight="1" x14ac:dyDescent="0.25">
      <c r="A158" s="5">
        <v>45652</v>
      </c>
      <c r="B158" s="6">
        <v>420</v>
      </c>
      <c r="C158" s="6">
        <v>292</v>
      </c>
      <c r="D158" s="7" t="s">
        <v>18</v>
      </c>
      <c r="E158" s="6">
        <v>2350</v>
      </c>
      <c r="F158" s="6">
        <v>2235</v>
      </c>
      <c r="G158" s="6">
        <v>400</v>
      </c>
      <c r="H158" s="7" t="s">
        <v>18</v>
      </c>
      <c r="I158" s="6">
        <v>405</v>
      </c>
    </row>
    <row r="159" spans="1:9" ht="15.75" customHeight="1" x14ac:dyDescent="0.25">
      <c r="A159" s="8">
        <v>45655</v>
      </c>
      <c r="B159" s="9">
        <v>420</v>
      </c>
      <c r="C159" s="9">
        <v>292</v>
      </c>
      <c r="D159" s="10" t="s">
        <v>18</v>
      </c>
      <c r="E159" s="9">
        <v>2350</v>
      </c>
      <c r="F159" s="9">
        <v>2235</v>
      </c>
      <c r="G159" s="9">
        <v>400</v>
      </c>
      <c r="H159" s="10" t="s">
        <v>18</v>
      </c>
      <c r="I159" s="9">
        <v>405</v>
      </c>
    </row>
    <row r="160" spans="1:9" ht="15.75" customHeight="1" x14ac:dyDescent="0.25">
      <c r="A160" s="5">
        <v>45657</v>
      </c>
      <c r="B160" s="6">
        <v>420</v>
      </c>
      <c r="C160" s="6">
        <v>292</v>
      </c>
      <c r="D160" s="7" t="s">
        <v>18</v>
      </c>
      <c r="E160" s="6">
        <v>2350</v>
      </c>
      <c r="F160" s="6">
        <v>2250</v>
      </c>
      <c r="G160" s="6">
        <v>400</v>
      </c>
      <c r="H160" s="7" t="s">
        <v>18</v>
      </c>
      <c r="I160" s="6">
        <v>405</v>
      </c>
    </row>
    <row r="161" spans="1:9" ht="15.75" customHeight="1" x14ac:dyDescent="0.25">
      <c r="A161" s="8">
        <v>45659</v>
      </c>
      <c r="B161" s="9">
        <v>420</v>
      </c>
      <c r="C161" s="9">
        <v>292</v>
      </c>
      <c r="D161" s="10" t="s">
        <v>18</v>
      </c>
      <c r="E161" s="9">
        <v>2350</v>
      </c>
      <c r="F161" s="9">
        <v>2250</v>
      </c>
      <c r="G161" s="9">
        <v>400</v>
      </c>
      <c r="H161" s="10" t="s">
        <v>18</v>
      </c>
      <c r="I161" s="9">
        <v>405</v>
      </c>
    </row>
    <row r="162" spans="1:9" ht="15.75" customHeight="1" x14ac:dyDescent="0.25">
      <c r="A162" s="5">
        <v>45662</v>
      </c>
      <c r="B162" s="6">
        <v>420</v>
      </c>
      <c r="C162" s="6">
        <v>292</v>
      </c>
      <c r="D162" s="7" t="s">
        <v>18</v>
      </c>
      <c r="E162" s="6">
        <v>2350</v>
      </c>
      <c r="F162" s="6">
        <v>2250</v>
      </c>
      <c r="G162" s="6">
        <v>400</v>
      </c>
      <c r="H162" s="7" t="s">
        <v>18</v>
      </c>
      <c r="I162" s="6">
        <v>405</v>
      </c>
    </row>
    <row r="163" spans="1:9" ht="15.75" customHeight="1" x14ac:dyDescent="0.25">
      <c r="A163" s="8">
        <v>45664</v>
      </c>
      <c r="B163" s="9">
        <v>420</v>
      </c>
      <c r="C163" s="9">
        <v>292</v>
      </c>
      <c r="D163" s="10" t="s">
        <v>18</v>
      </c>
      <c r="E163" s="9">
        <v>2350</v>
      </c>
      <c r="F163" s="9">
        <v>2235</v>
      </c>
      <c r="G163" s="9">
        <v>400</v>
      </c>
      <c r="H163" s="10" t="s">
        <v>18</v>
      </c>
      <c r="I163" s="9">
        <v>405</v>
      </c>
    </row>
    <row r="164" spans="1:9" ht="15.75" customHeight="1" x14ac:dyDescent="0.25">
      <c r="A164" s="5">
        <v>45666</v>
      </c>
      <c r="B164" s="6">
        <v>420</v>
      </c>
      <c r="C164" s="6">
        <v>292</v>
      </c>
      <c r="D164" s="7" t="s">
        <v>18</v>
      </c>
      <c r="E164" s="6">
        <v>2350</v>
      </c>
      <c r="F164" s="6">
        <v>2270</v>
      </c>
      <c r="G164" s="6">
        <v>400</v>
      </c>
      <c r="H164" s="7" t="s">
        <v>18</v>
      </c>
      <c r="I164" s="6">
        <v>405</v>
      </c>
    </row>
    <row r="165" spans="1:9" ht="15.75" customHeight="1" x14ac:dyDescent="0.25">
      <c r="A165" s="8">
        <v>45670</v>
      </c>
      <c r="B165" s="9">
        <v>420</v>
      </c>
      <c r="C165" s="9">
        <v>292</v>
      </c>
      <c r="D165" s="10" t="s">
        <v>18</v>
      </c>
      <c r="E165" s="9">
        <v>2350</v>
      </c>
      <c r="F165" s="9">
        <v>2264</v>
      </c>
      <c r="G165" s="9">
        <v>400</v>
      </c>
      <c r="H165" s="10" t="s">
        <v>18</v>
      </c>
      <c r="I165" s="9">
        <v>405</v>
      </c>
    </row>
    <row r="166" spans="1:9" ht="15.75" customHeight="1" x14ac:dyDescent="0.25">
      <c r="A166" s="5">
        <v>45671</v>
      </c>
      <c r="B166" s="6">
        <v>420</v>
      </c>
      <c r="C166" s="6">
        <v>292</v>
      </c>
      <c r="D166" s="7" t="s">
        <v>18</v>
      </c>
      <c r="E166" s="6">
        <v>2350</v>
      </c>
      <c r="F166" s="6">
        <v>2273</v>
      </c>
      <c r="G166" s="6">
        <v>400</v>
      </c>
      <c r="H166" s="6">
        <v>760</v>
      </c>
      <c r="I166" s="6">
        <v>405</v>
      </c>
    </row>
    <row r="167" spans="1:9" ht="15.75" customHeight="1" x14ac:dyDescent="0.25">
      <c r="A167" s="8">
        <v>45673</v>
      </c>
      <c r="B167" s="9">
        <v>420</v>
      </c>
      <c r="C167" s="9">
        <v>292</v>
      </c>
      <c r="D167" s="10" t="s">
        <v>18</v>
      </c>
      <c r="E167" s="9">
        <v>2350</v>
      </c>
      <c r="F167" s="9">
        <v>2280</v>
      </c>
      <c r="G167" s="9">
        <v>400</v>
      </c>
      <c r="H167" s="9">
        <v>760</v>
      </c>
      <c r="I167" s="9">
        <v>405</v>
      </c>
    </row>
    <row r="168" spans="1:9" ht="15.75" customHeight="1" x14ac:dyDescent="0.25">
      <c r="A168" s="5">
        <v>45676</v>
      </c>
      <c r="B168" s="6">
        <v>420</v>
      </c>
      <c r="C168" s="6">
        <v>292</v>
      </c>
      <c r="D168" s="7" t="s">
        <v>18</v>
      </c>
      <c r="E168" s="6">
        <v>2350</v>
      </c>
      <c r="F168" s="6">
        <v>2280</v>
      </c>
      <c r="G168" s="6">
        <v>400</v>
      </c>
      <c r="H168" s="6">
        <v>760</v>
      </c>
      <c r="I168" s="6">
        <v>405</v>
      </c>
    </row>
    <row r="169" spans="1:9" ht="15.75" customHeight="1" x14ac:dyDescent="0.25">
      <c r="A169" s="8">
        <v>45678</v>
      </c>
      <c r="B169" s="9">
        <v>420</v>
      </c>
      <c r="C169" s="9">
        <v>292</v>
      </c>
      <c r="D169" s="10" t="s">
        <v>18</v>
      </c>
      <c r="E169" s="9">
        <v>2370</v>
      </c>
      <c r="F169" s="9">
        <v>2280</v>
      </c>
      <c r="G169" s="9">
        <v>400</v>
      </c>
      <c r="H169" s="9">
        <v>760</v>
      </c>
      <c r="I169" s="9">
        <v>405</v>
      </c>
    </row>
    <row r="170" spans="1:9" ht="15.75" customHeight="1" x14ac:dyDescent="0.25">
      <c r="A170" s="5">
        <v>45680</v>
      </c>
      <c r="B170" s="6">
        <v>420</v>
      </c>
      <c r="C170" s="6">
        <v>292</v>
      </c>
      <c r="D170" s="7" t="s">
        <v>18</v>
      </c>
      <c r="E170" s="6">
        <v>2360</v>
      </c>
      <c r="F170" s="6">
        <v>2273</v>
      </c>
      <c r="G170" s="6">
        <v>400</v>
      </c>
      <c r="H170" s="6">
        <v>760</v>
      </c>
      <c r="I170" s="6">
        <v>405</v>
      </c>
    </row>
    <row r="171" spans="1:9" ht="15.75" customHeight="1" x14ac:dyDescent="0.25">
      <c r="A171" s="8">
        <v>45683</v>
      </c>
      <c r="B171" s="9">
        <v>420</v>
      </c>
      <c r="C171" s="9">
        <v>292</v>
      </c>
      <c r="D171" s="10" t="s">
        <v>18</v>
      </c>
      <c r="E171" s="9">
        <v>2360</v>
      </c>
      <c r="F171" s="9">
        <v>2273</v>
      </c>
      <c r="G171" s="9">
        <v>400</v>
      </c>
      <c r="H171" s="9">
        <v>790</v>
      </c>
      <c r="I171" s="9">
        <v>405</v>
      </c>
    </row>
    <row r="172" spans="1:9" ht="15.75" customHeight="1" x14ac:dyDescent="0.25">
      <c r="A172" s="5">
        <v>45685</v>
      </c>
      <c r="B172" s="6">
        <v>420</v>
      </c>
      <c r="C172" s="6">
        <v>292</v>
      </c>
      <c r="D172" s="7" t="s">
        <v>18</v>
      </c>
      <c r="E172" s="6">
        <v>2370</v>
      </c>
      <c r="F172" s="6">
        <v>2273</v>
      </c>
      <c r="G172" s="6">
        <v>400</v>
      </c>
      <c r="H172" s="6">
        <v>790</v>
      </c>
      <c r="I172" s="6">
        <v>405</v>
      </c>
    </row>
    <row r="173" spans="1:9" ht="15.75" customHeight="1" x14ac:dyDescent="0.25">
      <c r="A173" s="8">
        <v>45687</v>
      </c>
      <c r="B173" s="9">
        <v>420</v>
      </c>
      <c r="C173" s="9">
        <v>292</v>
      </c>
      <c r="D173" s="10" t="s">
        <v>18</v>
      </c>
      <c r="E173" s="9">
        <v>2370</v>
      </c>
      <c r="F173" s="9">
        <v>2273</v>
      </c>
      <c r="G173" s="9">
        <v>400</v>
      </c>
      <c r="H173" s="9">
        <v>790</v>
      </c>
      <c r="I173" s="9">
        <v>405</v>
      </c>
    </row>
    <row r="174" spans="1:9" ht="15.75" customHeight="1" x14ac:dyDescent="0.25">
      <c r="A174" s="5">
        <v>45690</v>
      </c>
      <c r="B174" s="6">
        <v>420</v>
      </c>
      <c r="C174" s="6">
        <v>292</v>
      </c>
      <c r="D174" s="7" t="s">
        <v>18</v>
      </c>
      <c r="E174" s="6">
        <v>2370</v>
      </c>
      <c r="F174" s="6">
        <v>2271</v>
      </c>
      <c r="G174" s="6">
        <v>400</v>
      </c>
      <c r="H174" s="6">
        <v>790</v>
      </c>
      <c r="I174" s="6">
        <v>405</v>
      </c>
    </row>
    <row r="175" spans="1:9" ht="15.75" customHeight="1" x14ac:dyDescent="0.25">
      <c r="A175" s="8">
        <v>45692</v>
      </c>
      <c r="B175" s="9">
        <v>420</v>
      </c>
      <c r="C175" s="9">
        <v>292</v>
      </c>
      <c r="D175" s="10" t="s">
        <v>18</v>
      </c>
      <c r="E175" s="9">
        <v>2370</v>
      </c>
      <c r="F175" s="9">
        <v>2270</v>
      </c>
      <c r="G175" s="9">
        <v>400</v>
      </c>
      <c r="H175" s="9">
        <v>790</v>
      </c>
      <c r="I175" s="9">
        <v>405</v>
      </c>
    </row>
    <row r="176" spans="1:9" ht="15.75" customHeight="1" x14ac:dyDescent="0.25">
      <c r="A176" s="5">
        <v>45694</v>
      </c>
      <c r="B176" s="6">
        <v>420</v>
      </c>
      <c r="C176" s="6">
        <v>292</v>
      </c>
      <c r="D176" s="7" t="s">
        <v>18</v>
      </c>
      <c r="E176" s="6">
        <v>2390</v>
      </c>
      <c r="F176" s="6">
        <v>2270</v>
      </c>
      <c r="G176" s="6">
        <v>400</v>
      </c>
      <c r="H176" s="6">
        <v>790</v>
      </c>
      <c r="I176" s="6">
        <v>405</v>
      </c>
    </row>
    <row r="177" spans="1:9" ht="15.75" customHeight="1" x14ac:dyDescent="0.25">
      <c r="A177" s="8">
        <v>45697</v>
      </c>
      <c r="B177" s="9">
        <v>420</v>
      </c>
      <c r="C177" s="9">
        <v>292</v>
      </c>
      <c r="D177" s="10" t="s">
        <v>18</v>
      </c>
      <c r="E177" s="9">
        <v>2390</v>
      </c>
      <c r="F177" s="9">
        <v>2270</v>
      </c>
      <c r="G177" s="9">
        <v>400</v>
      </c>
      <c r="H177" s="9">
        <v>790</v>
      </c>
      <c r="I177" s="9">
        <v>405</v>
      </c>
    </row>
    <row r="178" spans="1:9" ht="15.75" customHeight="1" x14ac:dyDescent="0.25">
      <c r="A178" s="5">
        <v>45699</v>
      </c>
      <c r="B178" s="6">
        <v>420</v>
      </c>
      <c r="C178" s="6">
        <v>292</v>
      </c>
      <c r="D178" s="7" t="s">
        <v>18</v>
      </c>
      <c r="E178" s="6">
        <v>2390</v>
      </c>
      <c r="F178" s="6">
        <v>2270</v>
      </c>
      <c r="G178" s="6">
        <v>400</v>
      </c>
      <c r="H178" s="6">
        <v>800</v>
      </c>
      <c r="I178" s="6">
        <v>405</v>
      </c>
    </row>
    <row r="179" spans="1:9" ht="15.75" customHeight="1" x14ac:dyDescent="0.25">
      <c r="A179" s="8">
        <v>45701</v>
      </c>
      <c r="B179" s="9">
        <v>420</v>
      </c>
      <c r="C179" s="9">
        <v>292</v>
      </c>
      <c r="D179" s="10" t="s">
        <v>18</v>
      </c>
      <c r="E179" s="9">
        <v>2390</v>
      </c>
      <c r="F179" s="9">
        <v>2270</v>
      </c>
      <c r="G179" s="9">
        <v>400</v>
      </c>
      <c r="H179" s="9">
        <v>790</v>
      </c>
      <c r="I179" s="9">
        <v>405</v>
      </c>
    </row>
    <row r="180" spans="1:9" ht="15.75" customHeight="1" x14ac:dyDescent="0.25">
      <c r="A180" s="5">
        <v>45704</v>
      </c>
      <c r="B180" s="6">
        <v>400</v>
      </c>
      <c r="C180" s="6">
        <v>292</v>
      </c>
      <c r="D180" s="7" t="s">
        <v>18</v>
      </c>
      <c r="E180" s="6">
        <v>2390</v>
      </c>
      <c r="F180" s="6">
        <v>2249</v>
      </c>
      <c r="G180" s="6">
        <v>400</v>
      </c>
      <c r="H180" s="6">
        <v>790</v>
      </c>
      <c r="I180" s="6">
        <v>405</v>
      </c>
    </row>
    <row r="181" spans="1:9" ht="15.75" customHeight="1" x14ac:dyDescent="0.25">
      <c r="A181" s="8">
        <v>45706</v>
      </c>
      <c r="B181" s="9">
        <v>420</v>
      </c>
      <c r="C181" s="9">
        <v>292</v>
      </c>
      <c r="D181" s="10" t="s">
        <v>18</v>
      </c>
      <c r="E181" s="9">
        <v>2390</v>
      </c>
      <c r="F181" s="9">
        <v>2249</v>
      </c>
      <c r="G181" s="9">
        <v>400</v>
      </c>
      <c r="H181" s="9">
        <v>790</v>
      </c>
      <c r="I181" s="9">
        <v>404</v>
      </c>
    </row>
    <row r="182" spans="1:9" ht="15.75" customHeight="1" x14ac:dyDescent="0.25">
      <c r="A182" s="5">
        <v>45708</v>
      </c>
      <c r="B182" s="6">
        <v>420</v>
      </c>
      <c r="C182" s="6">
        <v>292</v>
      </c>
      <c r="D182" s="7" t="s">
        <v>18</v>
      </c>
      <c r="E182" s="6">
        <v>2391</v>
      </c>
      <c r="F182" s="6">
        <v>2250</v>
      </c>
      <c r="G182" s="6">
        <v>400</v>
      </c>
      <c r="H182" s="6">
        <v>790</v>
      </c>
      <c r="I182" s="6">
        <v>404</v>
      </c>
    </row>
    <row r="183" spans="1:9" ht="15.75" customHeight="1" x14ac:dyDescent="0.25">
      <c r="A183" s="8">
        <v>45711</v>
      </c>
      <c r="B183" s="9">
        <v>420</v>
      </c>
      <c r="C183" s="9">
        <v>292</v>
      </c>
      <c r="D183" s="10" t="s">
        <v>18</v>
      </c>
      <c r="E183" s="9">
        <v>2391</v>
      </c>
      <c r="F183" s="9">
        <v>2270</v>
      </c>
      <c r="G183" s="9">
        <v>400</v>
      </c>
      <c r="H183" s="9">
        <v>790</v>
      </c>
      <c r="I183" s="9">
        <v>404</v>
      </c>
    </row>
    <row r="184" spans="1:9" ht="15.75" customHeight="1" x14ac:dyDescent="0.25">
      <c r="A184" s="5">
        <v>45713</v>
      </c>
      <c r="B184" s="6">
        <v>420</v>
      </c>
      <c r="C184" s="6">
        <v>292</v>
      </c>
      <c r="D184" s="7" t="s">
        <v>18</v>
      </c>
      <c r="E184" s="6">
        <v>2395</v>
      </c>
      <c r="F184" s="6">
        <v>2270</v>
      </c>
      <c r="G184" s="6">
        <v>400</v>
      </c>
      <c r="H184" s="6">
        <v>790</v>
      </c>
      <c r="I184" s="6">
        <v>404</v>
      </c>
    </row>
    <row r="185" spans="1:9" ht="15.75" customHeight="1" x14ac:dyDescent="0.25">
      <c r="A185" s="8">
        <v>45715</v>
      </c>
      <c r="B185" s="9">
        <v>420</v>
      </c>
      <c r="C185" s="9">
        <v>292</v>
      </c>
      <c r="D185" s="10" t="s">
        <v>18</v>
      </c>
      <c r="E185" s="9">
        <v>2396</v>
      </c>
      <c r="F185" s="9">
        <v>2259</v>
      </c>
      <c r="G185" s="9">
        <v>400</v>
      </c>
      <c r="H185" s="9">
        <v>790</v>
      </c>
      <c r="I185" s="9">
        <v>404</v>
      </c>
    </row>
    <row r="186" spans="1:9" ht="15.75" customHeight="1" x14ac:dyDescent="0.25">
      <c r="A186" s="5">
        <v>45718</v>
      </c>
      <c r="B186" s="6">
        <v>420</v>
      </c>
      <c r="C186" s="6">
        <v>292</v>
      </c>
      <c r="D186" s="7" t="s">
        <v>18</v>
      </c>
      <c r="E186" s="6">
        <v>2396</v>
      </c>
      <c r="F186" s="6">
        <v>2259</v>
      </c>
      <c r="G186" s="6">
        <v>400</v>
      </c>
      <c r="H186" s="6">
        <v>790</v>
      </c>
      <c r="I186" s="6">
        <v>404</v>
      </c>
    </row>
    <row r="187" spans="1:9" ht="15.75" customHeight="1" x14ac:dyDescent="0.25">
      <c r="A187" s="8">
        <v>45720</v>
      </c>
      <c r="B187" s="9">
        <v>420</v>
      </c>
      <c r="C187" s="9">
        <v>292</v>
      </c>
      <c r="D187" s="10" t="s">
        <v>18</v>
      </c>
      <c r="E187" s="9">
        <v>2396</v>
      </c>
      <c r="F187" s="9">
        <v>2249</v>
      </c>
      <c r="G187" s="9">
        <v>400</v>
      </c>
      <c r="H187" s="9">
        <v>790</v>
      </c>
      <c r="I187" s="9">
        <v>405</v>
      </c>
    </row>
    <row r="188" spans="1:9" ht="15.75" customHeight="1" x14ac:dyDescent="0.25">
      <c r="A188" s="5">
        <v>45722</v>
      </c>
      <c r="B188" s="6">
        <v>420</v>
      </c>
      <c r="C188" s="6">
        <v>292</v>
      </c>
      <c r="D188" s="7" t="s">
        <v>18</v>
      </c>
      <c r="E188" s="6">
        <v>2510</v>
      </c>
      <c r="F188" s="6">
        <v>2237</v>
      </c>
      <c r="G188" s="6">
        <v>400</v>
      </c>
      <c r="H188" s="6">
        <v>790</v>
      </c>
      <c r="I188" s="6">
        <v>405</v>
      </c>
    </row>
    <row r="189" spans="1:9" ht="15.75" customHeight="1" x14ac:dyDescent="0.25">
      <c r="A189" s="8">
        <v>45725</v>
      </c>
      <c r="B189" s="9">
        <v>420</v>
      </c>
      <c r="C189" s="9">
        <v>292</v>
      </c>
      <c r="D189" s="10" t="s">
        <v>18</v>
      </c>
      <c r="E189" s="9">
        <v>2510</v>
      </c>
      <c r="F189" s="9">
        <v>2237</v>
      </c>
      <c r="G189" s="9">
        <v>400</v>
      </c>
      <c r="H189" s="9">
        <v>790</v>
      </c>
      <c r="I189" s="9">
        <v>405</v>
      </c>
    </row>
    <row r="190" spans="1:9" ht="15.75" customHeight="1" x14ac:dyDescent="0.25">
      <c r="A190" s="5">
        <v>45727</v>
      </c>
      <c r="B190" s="6">
        <v>420</v>
      </c>
      <c r="C190" s="6">
        <v>292</v>
      </c>
      <c r="D190" s="7" t="s">
        <v>18</v>
      </c>
      <c r="E190" s="6">
        <v>2510</v>
      </c>
      <c r="F190" s="6">
        <v>2200</v>
      </c>
      <c r="G190" s="6">
        <v>400</v>
      </c>
      <c r="H190" s="6">
        <v>790</v>
      </c>
      <c r="I190" s="6">
        <v>405</v>
      </c>
    </row>
    <row r="191" spans="1:9" ht="15.75" customHeight="1" x14ac:dyDescent="0.25">
      <c r="A191" s="8">
        <v>45729</v>
      </c>
      <c r="B191" s="9">
        <v>420</v>
      </c>
      <c r="C191" s="9">
        <v>292</v>
      </c>
      <c r="D191" s="9">
        <v>1400</v>
      </c>
      <c r="E191" s="9">
        <v>2510</v>
      </c>
      <c r="F191" s="9">
        <v>2200</v>
      </c>
      <c r="G191" s="9">
        <v>400</v>
      </c>
      <c r="H191" s="9">
        <v>790</v>
      </c>
      <c r="I191" s="9">
        <v>405</v>
      </c>
    </row>
    <row r="192" spans="1:9" ht="15.75" customHeight="1" x14ac:dyDescent="0.25">
      <c r="A192" s="5">
        <v>45732</v>
      </c>
      <c r="B192" s="6">
        <v>420</v>
      </c>
      <c r="C192" s="6">
        <v>292</v>
      </c>
      <c r="D192" s="6">
        <v>1400</v>
      </c>
      <c r="E192" s="6">
        <v>2510</v>
      </c>
      <c r="F192" s="6">
        <v>2200</v>
      </c>
      <c r="G192" s="6">
        <v>400</v>
      </c>
      <c r="H192" s="6">
        <v>790</v>
      </c>
      <c r="I192" s="6">
        <v>405</v>
      </c>
    </row>
    <row r="193" spans="1:9" ht="15.75" customHeight="1" x14ac:dyDescent="0.25">
      <c r="A193" s="8">
        <v>45734</v>
      </c>
      <c r="B193" s="9">
        <v>420</v>
      </c>
      <c r="C193" s="9">
        <v>292</v>
      </c>
      <c r="D193" s="9">
        <v>1400</v>
      </c>
      <c r="E193" s="9">
        <v>2400</v>
      </c>
      <c r="F193" s="9">
        <v>2200</v>
      </c>
      <c r="G193" s="9">
        <v>400</v>
      </c>
      <c r="H193" s="9">
        <v>790</v>
      </c>
      <c r="I193" s="9">
        <v>405</v>
      </c>
    </row>
    <row r="194" spans="1:9" ht="15.75" customHeight="1" x14ac:dyDescent="0.25">
      <c r="A194" s="5">
        <v>45736</v>
      </c>
      <c r="B194" s="6">
        <v>420</v>
      </c>
      <c r="C194" s="6">
        <v>292</v>
      </c>
      <c r="D194" s="6">
        <v>1400</v>
      </c>
      <c r="E194" s="6">
        <v>2400</v>
      </c>
      <c r="F194" s="6">
        <v>2149</v>
      </c>
      <c r="G194" s="6">
        <v>400</v>
      </c>
      <c r="H194" s="6">
        <v>790</v>
      </c>
      <c r="I194" s="6">
        <v>405</v>
      </c>
    </row>
    <row r="195" spans="1:9" ht="15.75" customHeight="1" x14ac:dyDescent="0.25">
      <c r="A195" s="8">
        <v>45739</v>
      </c>
      <c r="B195" s="9">
        <v>420</v>
      </c>
      <c r="C195" s="9">
        <v>292</v>
      </c>
      <c r="D195" s="9">
        <v>1400</v>
      </c>
      <c r="E195" s="9">
        <v>2400</v>
      </c>
      <c r="F195" s="9">
        <v>2149</v>
      </c>
      <c r="G195" s="9">
        <v>400</v>
      </c>
      <c r="H195" s="9">
        <v>790</v>
      </c>
      <c r="I195" s="9">
        <v>405</v>
      </c>
    </row>
    <row r="196" spans="1:9" ht="15.75" customHeight="1" x14ac:dyDescent="0.25">
      <c r="A196" s="5">
        <v>45741</v>
      </c>
      <c r="B196" s="6">
        <v>420</v>
      </c>
      <c r="C196" s="6">
        <v>292</v>
      </c>
      <c r="D196" s="6">
        <v>1400</v>
      </c>
      <c r="E196" s="6">
        <v>2400</v>
      </c>
      <c r="F196" s="6">
        <v>2200</v>
      </c>
      <c r="G196" s="6">
        <v>400</v>
      </c>
      <c r="H196" s="6">
        <v>790</v>
      </c>
      <c r="I196" s="6">
        <v>405</v>
      </c>
    </row>
    <row r="197" spans="1:9" ht="15.75" customHeight="1" x14ac:dyDescent="0.25">
      <c r="A197" s="8">
        <v>45743</v>
      </c>
      <c r="B197" s="9">
        <v>420</v>
      </c>
      <c r="C197" s="9">
        <v>292</v>
      </c>
      <c r="D197" s="9">
        <v>1400</v>
      </c>
      <c r="E197" s="9">
        <v>2400</v>
      </c>
      <c r="F197" s="9">
        <v>2200</v>
      </c>
      <c r="G197" s="9">
        <v>400</v>
      </c>
      <c r="H197" s="9">
        <v>800</v>
      </c>
      <c r="I197" s="9">
        <v>405</v>
      </c>
    </row>
    <row r="198" spans="1:9" ht="15.75" customHeight="1" x14ac:dyDescent="0.25">
      <c r="A198" s="5">
        <v>45746</v>
      </c>
      <c r="B198" s="6">
        <v>420</v>
      </c>
      <c r="C198" s="6">
        <v>292</v>
      </c>
      <c r="D198" s="6">
        <v>1400</v>
      </c>
      <c r="E198" s="6">
        <v>2400</v>
      </c>
      <c r="F198" s="6">
        <v>2200</v>
      </c>
      <c r="G198" s="6">
        <v>400</v>
      </c>
      <c r="H198" s="6">
        <v>790</v>
      </c>
      <c r="I198" s="6">
        <v>405</v>
      </c>
    </row>
    <row r="199" spans="1:9" ht="15.75" customHeight="1" x14ac:dyDescent="0.25">
      <c r="A199" s="8">
        <v>45750</v>
      </c>
      <c r="B199" s="9">
        <v>420</v>
      </c>
      <c r="C199" s="9">
        <v>292</v>
      </c>
      <c r="D199" s="9">
        <v>1400</v>
      </c>
      <c r="E199" s="9">
        <v>2400</v>
      </c>
      <c r="F199" s="9">
        <v>2200</v>
      </c>
      <c r="G199" s="9">
        <v>400</v>
      </c>
      <c r="H199" s="9">
        <v>790</v>
      </c>
      <c r="I199" s="9">
        <v>405</v>
      </c>
    </row>
    <row r="200" spans="1:9" ht="15.75" customHeight="1" x14ac:dyDescent="0.25">
      <c r="A200" s="5">
        <v>45753</v>
      </c>
      <c r="B200" s="6">
        <v>420</v>
      </c>
      <c r="C200" s="6">
        <v>292</v>
      </c>
      <c r="D200" s="6">
        <v>1400</v>
      </c>
      <c r="E200" s="6">
        <v>2400</v>
      </c>
      <c r="F200" s="6">
        <v>2200</v>
      </c>
      <c r="G200" s="6">
        <v>400</v>
      </c>
      <c r="H200" s="6">
        <v>790</v>
      </c>
      <c r="I200" s="6">
        <v>405</v>
      </c>
    </row>
    <row r="201" spans="1:9" ht="15.75" customHeight="1" x14ac:dyDescent="0.25">
      <c r="A201" s="8">
        <v>45755</v>
      </c>
      <c r="B201" s="9">
        <v>420</v>
      </c>
      <c r="C201" s="9">
        <v>292</v>
      </c>
      <c r="D201" s="9">
        <v>1400</v>
      </c>
      <c r="E201" s="9">
        <v>2400</v>
      </c>
      <c r="F201" s="9">
        <v>2200</v>
      </c>
      <c r="G201" s="9">
        <v>400</v>
      </c>
      <c r="H201" s="9">
        <v>780</v>
      </c>
      <c r="I201" s="9">
        <v>405</v>
      </c>
    </row>
    <row r="202" spans="1:9" ht="15.75" customHeight="1" x14ac:dyDescent="0.25">
      <c r="A202" s="5">
        <v>45757</v>
      </c>
      <c r="B202" s="6">
        <v>420</v>
      </c>
      <c r="C202" s="6">
        <v>292</v>
      </c>
      <c r="D202" s="6">
        <v>1400</v>
      </c>
      <c r="E202" s="6">
        <v>2400</v>
      </c>
      <c r="F202" s="6">
        <v>2300</v>
      </c>
      <c r="G202" s="6">
        <v>400</v>
      </c>
      <c r="H202" s="6">
        <v>780</v>
      </c>
      <c r="I202" s="6">
        <v>405</v>
      </c>
    </row>
    <row r="203" spans="1:9" ht="15.75" customHeight="1" x14ac:dyDescent="0.25">
      <c r="A203" s="8">
        <v>45760</v>
      </c>
      <c r="B203" s="9">
        <v>420</v>
      </c>
      <c r="C203" s="9">
        <v>292</v>
      </c>
      <c r="D203" s="9">
        <v>1400</v>
      </c>
      <c r="E203" s="9">
        <v>2400</v>
      </c>
      <c r="F203" s="9">
        <v>2300</v>
      </c>
      <c r="G203" s="9">
        <v>400</v>
      </c>
      <c r="H203" s="9">
        <v>780</v>
      </c>
      <c r="I203" s="9">
        <v>405</v>
      </c>
    </row>
    <row r="204" spans="1:9" ht="15.75" customHeight="1" x14ac:dyDescent="0.25">
      <c r="A204" s="5">
        <v>45762</v>
      </c>
      <c r="B204" s="6">
        <v>420</v>
      </c>
      <c r="C204" s="6">
        <v>292</v>
      </c>
      <c r="D204" s="6">
        <v>1400</v>
      </c>
      <c r="E204" s="6">
        <v>2400</v>
      </c>
      <c r="F204" s="6">
        <v>2300</v>
      </c>
      <c r="G204" s="6">
        <v>400</v>
      </c>
      <c r="H204" s="6">
        <v>780</v>
      </c>
      <c r="I204" s="6">
        <v>405</v>
      </c>
    </row>
    <row r="205" spans="1:9" ht="15.75" customHeight="1" x14ac:dyDescent="0.25">
      <c r="A205" s="8">
        <v>45764</v>
      </c>
      <c r="B205" s="9">
        <v>421</v>
      </c>
      <c r="C205" s="9">
        <v>292</v>
      </c>
      <c r="D205" s="9">
        <v>1400</v>
      </c>
      <c r="E205" s="9">
        <v>2400</v>
      </c>
      <c r="F205" s="9">
        <v>2299</v>
      </c>
      <c r="G205" s="9">
        <v>400</v>
      </c>
      <c r="H205" s="9">
        <v>780</v>
      </c>
      <c r="I205" s="9">
        <v>405</v>
      </c>
    </row>
    <row r="206" spans="1:9" ht="15.75" customHeight="1" x14ac:dyDescent="0.25">
      <c r="A206" s="5">
        <v>45767</v>
      </c>
      <c r="B206" s="6">
        <v>421</v>
      </c>
      <c r="C206" s="6">
        <v>292</v>
      </c>
      <c r="D206" s="6">
        <v>1400</v>
      </c>
      <c r="E206" s="6">
        <v>2400</v>
      </c>
      <c r="F206" s="6">
        <v>2300</v>
      </c>
      <c r="G206" s="6">
        <v>400</v>
      </c>
      <c r="H206" s="6">
        <v>780</v>
      </c>
      <c r="I206" s="6">
        <v>405</v>
      </c>
    </row>
    <row r="207" spans="1:9" ht="15.75" customHeight="1" x14ac:dyDescent="0.25">
      <c r="A207" s="8">
        <v>45769</v>
      </c>
      <c r="B207" s="9">
        <v>420</v>
      </c>
      <c r="C207" s="9">
        <v>292</v>
      </c>
      <c r="D207" s="9">
        <v>1400</v>
      </c>
      <c r="E207" s="9">
        <v>2400</v>
      </c>
      <c r="F207" s="9">
        <v>2300</v>
      </c>
      <c r="G207" s="9">
        <v>400</v>
      </c>
      <c r="H207" s="9">
        <v>780</v>
      </c>
      <c r="I207" s="9">
        <v>405</v>
      </c>
    </row>
    <row r="208" spans="1:9" ht="15.75" customHeight="1" x14ac:dyDescent="0.25">
      <c r="A208" s="5">
        <v>45771</v>
      </c>
      <c r="B208" s="6">
        <v>410</v>
      </c>
      <c r="C208" s="6">
        <v>292</v>
      </c>
      <c r="D208" s="6">
        <v>1401</v>
      </c>
      <c r="E208" s="6">
        <v>2400</v>
      </c>
      <c r="F208" s="6">
        <v>2300</v>
      </c>
      <c r="G208" s="6">
        <v>400</v>
      </c>
      <c r="H208" s="6">
        <v>780</v>
      </c>
      <c r="I208" s="6">
        <v>405</v>
      </c>
    </row>
    <row r="209" spans="1:9" ht="15.75" customHeight="1" x14ac:dyDescent="0.25">
      <c r="A209" s="8">
        <v>45774</v>
      </c>
      <c r="B209" s="9">
        <v>410</v>
      </c>
      <c r="C209" s="9">
        <v>292</v>
      </c>
      <c r="D209" s="9">
        <v>1401</v>
      </c>
      <c r="E209" s="9">
        <v>2400</v>
      </c>
      <c r="F209" s="9">
        <v>2300</v>
      </c>
      <c r="G209" s="9">
        <v>400</v>
      </c>
      <c r="H209" s="9">
        <v>780</v>
      </c>
      <c r="I209" s="9">
        <v>405</v>
      </c>
    </row>
    <row r="210" spans="1:9" ht="15.75" customHeight="1" x14ac:dyDescent="0.25">
      <c r="A210" s="5">
        <v>45776</v>
      </c>
      <c r="B210" s="6">
        <v>430</v>
      </c>
      <c r="C210" s="6">
        <v>292</v>
      </c>
      <c r="D210" s="6">
        <v>1405</v>
      </c>
      <c r="E210" s="6">
        <v>2400</v>
      </c>
      <c r="F210" s="6">
        <v>2300</v>
      </c>
      <c r="G210" s="6">
        <v>400</v>
      </c>
      <c r="H210" s="6">
        <v>780</v>
      </c>
      <c r="I210" s="6">
        <v>400</v>
      </c>
    </row>
    <row r="211" spans="1:9" ht="15.75" customHeight="1" x14ac:dyDescent="0.25">
      <c r="A211" s="8">
        <v>45781</v>
      </c>
      <c r="B211" s="9">
        <v>430</v>
      </c>
      <c r="C211" s="9">
        <v>292</v>
      </c>
      <c r="D211" s="9">
        <v>1405</v>
      </c>
      <c r="E211" s="9">
        <v>2400</v>
      </c>
      <c r="F211" s="9">
        <v>2300</v>
      </c>
      <c r="G211" s="9">
        <v>400</v>
      </c>
      <c r="H211" s="9">
        <v>780</v>
      </c>
      <c r="I211" s="9">
        <v>400</v>
      </c>
    </row>
    <row r="212" spans="1:9" ht="15.75" customHeight="1" x14ac:dyDescent="0.25">
      <c r="A212" s="5">
        <v>45783</v>
      </c>
      <c r="B212" s="6">
        <v>430</v>
      </c>
      <c r="C212" s="6">
        <v>292</v>
      </c>
      <c r="D212" s="6">
        <v>1410</v>
      </c>
      <c r="E212" s="6">
        <v>2400</v>
      </c>
      <c r="F212" s="6">
        <v>2300</v>
      </c>
      <c r="G212" s="6">
        <v>400</v>
      </c>
      <c r="H212" s="6">
        <v>790</v>
      </c>
      <c r="I212" s="6">
        <v>405</v>
      </c>
    </row>
    <row r="213" spans="1:9" ht="15.75" customHeight="1" x14ac:dyDescent="0.25">
      <c r="A213" s="8">
        <v>45785</v>
      </c>
      <c r="B213" s="9">
        <v>430</v>
      </c>
      <c r="C213" s="9">
        <v>292</v>
      </c>
      <c r="D213" s="9">
        <v>1410</v>
      </c>
      <c r="E213" s="9">
        <v>2400</v>
      </c>
      <c r="F213" s="9">
        <v>2300</v>
      </c>
      <c r="G213" s="9">
        <v>400</v>
      </c>
      <c r="H213" s="9">
        <v>780</v>
      </c>
      <c r="I213" s="9">
        <v>405</v>
      </c>
    </row>
    <row r="214" spans="1:9" ht="15.75" customHeight="1" x14ac:dyDescent="0.25">
      <c r="A214" s="5">
        <v>45788</v>
      </c>
      <c r="B214" s="6">
        <v>430</v>
      </c>
      <c r="C214" s="6">
        <v>292</v>
      </c>
      <c r="D214" s="6">
        <v>1415</v>
      </c>
      <c r="E214" s="6">
        <v>2400</v>
      </c>
      <c r="F214" s="6">
        <v>2300</v>
      </c>
      <c r="G214" s="6">
        <v>400</v>
      </c>
      <c r="H214" s="6">
        <v>780</v>
      </c>
      <c r="I214" s="6">
        <v>405</v>
      </c>
    </row>
    <row r="215" spans="1:9" ht="15.75" customHeight="1" x14ac:dyDescent="0.25">
      <c r="A215" s="8">
        <v>45790</v>
      </c>
      <c r="B215" s="9">
        <v>420</v>
      </c>
      <c r="C215" s="9">
        <v>292</v>
      </c>
      <c r="D215" s="9">
        <v>1415</v>
      </c>
      <c r="E215" s="9">
        <v>2400</v>
      </c>
      <c r="F215" s="9">
        <v>2300</v>
      </c>
      <c r="G215" s="9">
        <v>400</v>
      </c>
      <c r="H215" s="9">
        <v>780</v>
      </c>
      <c r="I215" s="9">
        <v>405</v>
      </c>
    </row>
    <row r="216" spans="1:9" ht="15.75" customHeight="1" x14ac:dyDescent="0.25">
      <c r="A216" s="5">
        <v>45792</v>
      </c>
      <c r="B216" s="6">
        <v>420</v>
      </c>
      <c r="C216" s="6">
        <v>292</v>
      </c>
      <c r="D216" s="6">
        <v>1415</v>
      </c>
      <c r="E216" s="6">
        <v>2400</v>
      </c>
      <c r="F216" s="6">
        <v>2300</v>
      </c>
      <c r="G216" s="6">
        <v>400</v>
      </c>
      <c r="H216" s="6">
        <v>780</v>
      </c>
      <c r="I216" s="6">
        <v>405</v>
      </c>
    </row>
    <row r="217" spans="1:9" ht="15.75" customHeight="1" x14ac:dyDescent="0.25">
      <c r="A217" s="8">
        <v>45795</v>
      </c>
      <c r="B217" s="9">
        <v>420</v>
      </c>
      <c r="C217" s="9">
        <v>292</v>
      </c>
      <c r="D217" s="9">
        <v>1415</v>
      </c>
      <c r="E217" s="9">
        <v>2400</v>
      </c>
      <c r="F217" s="9">
        <v>2300</v>
      </c>
      <c r="G217" s="9">
        <v>400</v>
      </c>
      <c r="H217" s="9">
        <v>780</v>
      </c>
      <c r="I217" s="9">
        <v>405</v>
      </c>
    </row>
    <row r="218" spans="1:9" ht="15.75" customHeight="1" x14ac:dyDescent="0.25">
      <c r="A218" s="5">
        <v>45797</v>
      </c>
      <c r="B218" s="6">
        <v>420</v>
      </c>
      <c r="C218" s="6">
        <v>292</v>
      </c>
      <c r="D218" s="6">
        <v>1415</v>
      </c>
      <c r="E218" s="6">
        <v>2501</v>
      </c>
      <c r="F218" s="6">
        <v>2300</v>
      </c>
      <c r="G218" s="6">
        <v>400</v>
      </c>
      <c r="H218" s="6">
        <v>780</v>
      </c>
      <c r="I218" s="6">
        <v>405</v>
      </c>
    </row>
    <row r="219" spans="1:9" ht="15.75" customHeight="1" x14ac:dyDescent="0.25">
      <c r="A219" s="8">
        <v>45799</v>
      </c>
      <c r="B219" s="9">
        <v>420</v>
      </c>
      <c r="C219" s="9">
        <v>292</v>
      </c>
      <c r="D219" s="9">
        <v>1415</v>
      </c>
      <c r="E219" s="9">
        <v>2501</v>
      </c>
      <c r="F219" s="9">
        <v>2300</v>
      </c>
      <c r="G219" s="9">
        <v>400</v>
      </c>
      <c r="H219" s="9">
        <v>780</v>
      </c>
      <c r="I219" s="9">
        <v>405</v>
      </c>
    </row>
    <row r="220" spans="1:9" ht="15.75" customHeight="1" x14ac:dyDescent="0.25">
      <c r="A220" s="5">
        <v>45802</v>
      </c>
      <c r="B220" s="6">
        <v>420</v>
      </c>
      <c r="C220" s="6">
        <v>292</v>
      </c>
      <c r="D220" s="6">
        <v>1415</v>
      </c>
      <c r="E220" s="6">
        <v>2501</v>
      </c>
      <c r="F220" s="6">
        <v>2300</v>
      </c>
      <c r="G220" s="6">
        <v>400</v>
      </c>
      <c r="H220" s="6">
        <v>780</v>
      </c>
      <c r="I220" s="6">
        <v>405</v>
      </c>
    </row>
    <row r="221" spans="1:9" ht="15.75" customHeight="1" x14ac:dyDescent="0.25">
      <c r="A221" s="8">
        <v>45804</v>
      </c>
      <c r="B221" s="9">
        <v>420</v>
      </c>
      <c r="C221" s="9">
        <v>292</v>
      </c>
      <c r="D221" s="9">
        <v>1420</v>
      </c>
      <c r="E221" s="9">
        <v>2501</v>
      </c>
      <c r="F221" s="9">
        <v>2300</v>
      </c>
      <c r="G221" s="9">
        <v>400</v>
      </c>
      <c r="H221" s="9">
        <v>780</v>
      </c>
      <c r="I221" s="9">
        <v>405</v>
      </c>
    </row>
    <row r="222" spans="1:9" ht="15.75" customHeight="1" x14ac:dyDescent="0.25">
      <c r="A222" s="5">
        <v>45806</v>
      </c>
      <c r="B222" s="6">
        <v>420</v>
      </c>
      <c r="C222" s="6">
        <v>292</v>
      </c>
      <c r="D222" s="6">
        <v>1416</v>
      </c>
      <c r="E222" s="6">
        <v>2500</v>
      </c>
      <c r="F222" s="6">
        <v>2300</v>
      </c>
      <c r="G222" s="6">
        <v>400</v>
      </c>
      <c r="H222" s="6">
        <v>780</v>
      </c>
      <c r="I222" s="6">
        <v>405</v>
      </c>
    </row>
    <row r="223" spans="1:9" ht="15.75" customHeight="1" x14ac:dyDescent="0.25">
      <c r="A223" s="8">
        <v>45809</v>
      </c>
      <c r="B223" s="9">
        <v>420</v>
      </c>
      <c r="C223" s="9">
        <v>292</v>
      </c>
      <c r="D223" s="9">
        <v>1420</v>
      </c>
      <c r="E223" s="9">
        <v>2500</v>
      </c>
      <c r="F223" s="9">
        <v>2300</v>
      </c>
      <c r="G223" s="9">
        <v>400</v>
      </c>
      <c r="H223" s="9">
        <v>772</v>
      </c>
      <c r="I223" s="9">
        <v>405</v>
      </c>
    </row>
    <row r="224" spans="1:9" ht="15.75" customHeight="1" x14ac:dyDescent="0.25">
      <c r="A224" s="5">
        <v>45811</v>
      </c>
      <c r="B224" s="6">
        <v>420</v>
      </c>
      <c r="C224" s="6">
        <v>292</v>
      </c>
      <c r="D224" s="6">
        <v>1420</v>
      </c>
      <c r="E224" s="6">
        <v>2500</v>
      </c>
      <c r="F224" s="6">
        <v>2300</v>
      </c>
      <c r="G224" s="6">
        <v>400</v>
      </c>
      <c r="H224" s="6">
        <v>772</v>
      </c>
      <c r="I224" s="6">
        <v>405</v>
      </c>
    </row>
    <row r="225" spans="1:9" ht="15.75" customHeight="1" x14ac:dyDescent="0.25">
      <c r="A225" s="8">
        <v>45813</v>
      </c>
      <c r="B225" s="9">
        <v>420</v>
      </c>
      <c r="C225" s="9">
        <v>292</v>
      </c>
      <c r="D225" s="9">
        <v>1420</v>
      </c>
      <c r="E225" s="9">
        <v>2450</v>
      </c>
      <c r="F225" s="9">
        <v>2300</v>
      </c>
      <c r="G225" s="9">
        <v>400</v>
      </c>
      <c r="H225" s="9">
        <v>772</v>
      </c>
      <c r="I225" s="9">
        <v>405</v>
      </c>
    </row>
    <row r="226" spans="1:9" ht="15.75" customHeight="1" x14ac:dyDescent="0.25">
      <c r="A226" s="5">
        <v>45817</v>
      </c>
      <c r="B226" s="6">
        <v>420</v>
      </c>
      <c r="C226" s="6">
        <v>292</v>
      </c>
      <c r="D226" s="6">
        <v>1420</v>
      </c>
      <c r="E226" s="6">
        <v>2450</v>
      </c>
      <c r="F226" s="6">
        <v>2300</v>
      </c>
      <c r="G226" s="6">
        <v>400</v>
      </c>
      <c r="H226" s="6">
        <v>772</v>
      </c>
      <c r="I226" s="6">
        <v>405</v>
      </c>
    </row>
    <row r="227" spans="1:9" ht="15.75" customHeight="1" x14ac:dyDescent="0.25">
      <c r="A227" s="8">
        <v>45818</v>
      </c>
      <c r="B227" s="9">
        <v>420</v>
      </c>
      <c r="C227" s="9">
        <v>292</v>
      </c>
      <c r="D227" s="9">
        <v>1420</v>
      </c>
      <c r="E227" s="9">
        <v>2450</v>
      </c>
      <c r="F227" s="9">
        <v>2300</v>
      </c>
      <c r="G227" s="9">
        <v>400</v>
      </c>
      <c r="H227" s="9">
        <v>772</v>
      </c>
      <c r="I227" s="9">
        <v>405</v>
      </c>
    </row>
    <row r="228" spans="1:9" ht="15.75" customHeight="1" x14ac:dyDescent="0.25">
      <c r="A228" s="5">
        <v>45820</v>
      </c>
      <c r="B228" s="6">
        <v>420</v>
      </c>
      <c r="C228" s="6">
        <v>292</v>
      </c>
      <c r="D228" s="6">
        <v>1420</v>
      </c>
      <c r="E228" s="6">
        <v>2450</v>
      </c>
      <c r="F228" s="6">
        <v>2300</v>
      </c>
      <c r="G228" s="6">
        <v>400</v>
      </c>
      <c r="H228" s="6">
        <v>772</v>
      </c>
      <c r="I228" s="6">
        <v>405</v>
      </c>
    </row>
    <row r="229" spans="1:9" ht="15.75" customHeight="1" x14ac:dyDescent="0.25">
      <c r="A229" s="8">
        <v>45823</v>
      </c>
      <c r="B229" s="9">
        <v>420</v>
      </c>
      <c r="C229" s="9">
        <v>292</v>
      </c>
      <c r="D229" s="9">
        <v>1425</v>
      </c>
      <c r="E229" s="9">
        <v>2450</v>
      </c>
      <c r="F229" s="9">
        <v>2300</v>
      </c>
      <c r="G229" s="9">
        <v>400</v>
      </c>
      <c r="H229" s="9">
        <v>772</v>
      </c>
      <c r="I229" s="9">
        <v>405</v>
      </c>
    </row>
    <row r="230" spans="1:9" ht="15.75" customHeight="1" x14ac:dyDescent="0.25">
      <c r="A230" s="5">
        <v>45825</v>
      </c>
      <c r="B230" s="6">
        <v>420</v>
      </c>
      <c r="C230" s="6">
        <v>292</v>
      </c>
      <c r="D230" s="6">
        <v>1426</v>
      </c>
      <c r="E230" s="6">
        <v>2450</v>
      </c>
      <c r="F230" s="6">
        <v>2300</v>
      </c>
      <c r="G230" s="6">
        <v>400</v>
      </c>
      <c r="H230" s="6">
        <v>772</v>
      </c>
      <c r="I230" s="6">
        <v>405</v>
      </c>
    </row>
    <row r="231" spans="1:9" ht="15.75" customHeight="1" x14ac:dyDescent="0.25">
      <c r="A231" s="8">
        <v>45827</v>
      </c>
      <c r="B231" s="9">
        <v>440</v>
      </c>
      <c r="C231" s="9">
        <v>292</v>
      </c>
      <c r="D231" s="9">
        <v>1425</v>
      </c>
      <c r="E231" s="9">
        <v>2450</v>
      </c>
      <c r="F231" s="9">
        <v>2300</v>
      </c>
      <c r="G231" s="9">
        <v>400</v>
      </c>
      <c r="H231" s="9">
        <v>772</v>
      </c>
      <c r="I231" s="9">
        <v>405</v>
      </c>
    </row>
    <row r="232" spans="1:9" ht="15.75" customHeight="1" x14ac:dyDescent="0.25">
      <c r="A232" s="5">
        <v>45830</v>
      </c>
      <c r="B232" s="6">
        <v>440</v>
      </c>
      <c r="C232" s="6">
        <v>292</v>
      </c>
      <c r="D232" s="6">
        <v>1425</v>
      </c>
      <c r="E232" s="6">
        <v>2450</v>
      </c>
      <c r="F232" s="6">
        <v>2300</v>
      </c>
      <c r="G232" s="6">
        <v>400</v>
      </c>
      <c r="H232" s="6">
        <v>772</v>
      </c>
      <c r="I232" s="6">
        <v>405</v>
      </c>
    </row>
    <row r="233" spans="1:9" ht="15.75" customHeight="1" x14ac:dyDescent="0.25">
      <c r="A233" s="8">
        <v>45832</v>
      </c>
      <c r="B233" s="9">
        <v>420</v>
      </c>
      <c r="C233" s="9">
        <v>292</v>
      </c>
      <c r="D233" s="9">
        <v>1430</v>
      </c>
      <c r="E233" s="9">
        <v>2450</v>
      </c>
      <c r="F233" s="9">
        <v>2299</v>
      </c>
      <c r="G233" s="9">
        <v>400</v>
      </c>
      <c r="H233" s="9">
        <v>772</v>
      </c>
      <c r="I233" s="9">
        <v>405</v>
      </c>
    </row>
    <row r="234" spans="1:9" ht="15.75" customHeight="1" x14ac:dyDescent="0.25">
      <c r="A234" s="5">
        <v>45834</v>
      </c>
      <c r="B234" s="6">
        <v>420</v>
      </c>
      <c r="C234" s="6">
        <v>292</v>
      </c>
      <c r="D234" s="6">
        <v>1430</v>
      </c>
      <c r="E234" s="6">
        <v>2450</v>
      </c>
      <c r="F234" s="6">
        <v>2300</v>
      </c>
      <c r="G234" s="6">
        <v>400</v>
      </c>
      <c r="H234" s="6">
        <v>772</v>
      </c>
      <c r="I234" s="6">
        <v>405</v>
      </c>
    </row>
    <row r="235" spans="1:9" ht="15.75" customHeight="1" x14ac:dyDescent="0.25">
      <c r="A235" s="8">
        <v>45837</v>
      </c>
      <c r="B235" s="9">
        <v>420</v>
      </c>
      <c r="C235" s="9">
        <v>292</v>
      </c>
      <c r="D235" s="9">
        <v>1430</v>
      </c>
      <c r="E235" s="9">
        <v>2450</v>
      </c>
      <c r="F235" s="9">
        <v>2300</v>
      </c>
      <c r="G235" s="9">
        <v>400</v>
      </c>
      <c r="H235" s="9">
        <v>772</v>
      </c>
      <c r="I235" s="9">
        <v>405</v>
      </c>
    </row>
    <row r="236" spans="1:9" ht="15.75" customHeight="1" x14ac:dyDescent="0.25">
      <c r="A236" s="5">
        <v>45839</v>
      </c>
      <c r="B236" s="6">
        <v>420</v>
      </c>
      <c r="C236" s="6">
        <v>292</v>
      </c>
      <c r="D236" s="6">
        <v>1430</v>
      </c>
      <c r="E236" s="6">
        <v>2450</v>
      </c>
      <c r="F236" s="6">
        <v>2300</v>
      </c>
      <c r="G236" s="6">
        <v>400</v>
      </c>
      <c r="H236" s="6">
        <v>772</v>
      </c>
      <c r="I236" s="6">
        <v>405</v>
      </c>
    </row>
    <row r="237" spans="1:9" ht="15.75" customHeight="1" x14ac:dyDescent="0.25">
      <c r="A237" s="8">
        <v>45841</v>
      </c>
      <c r="B237" s="9">
        <v>420</v>
      </c>
      <c r="C237" s="9">
        <v>292</v>
      </c>
      <c r="D237" s="9">
        <v>1449</v>
      </c>
      <c r="E237" s="9">
        <v>2450</v>
      </c>
      <c r="F237" s="9">
        <v>2300</v>
      </c>
      <c r="G237" s="9">
        <v>400</v>
      </c>
      <c r="H237" s="9">
        <v>772</v>
      </c>
      <c r="I237" s="9">
        <v>405</v>
      </c>
    </row>
    <row r="238" spans="1:9" ht="15.75" customHeight="1" x14ac:dyDescent="0.25">
      <c r="A238" s="5">
        <v>45845</v>
      </c>
      <c r="B238" s="6">
        <v>420</v>
      </c>
      <c r="C238" s="6">
        <v>292</v>
      </c>
      <c r="D238" s="6">
        <v>1449</v>
      </c>
      <c r="E238" s="6">
        <v>2450</v>
      </c>
      <c r="F238" s="6">
        <v>2300</v>
      </c>
      <c r="G238" s="6">
        <v>400</v>
      </c>
      <c r="H238" s="6">
        <v>772</v>
      </c>
      <c r="I238" s="6">
        <v>405</v>
      </c>
    </row>
    <row r="239" spans="1:9" ht="15.75" customHeight="1" x14ac:dyDescent="0.25">
      <c r="A239" s="8">
        <v>45846</v>
      </c>
      <c r="B239" s="9">
        <v>420</v>
      </c>
      <c r="C239" s="9">
        <v>292</v>
      </c>
      <c r="D239" s="9">
        <v>1450</v>
      </c>
      <c r="E239" s="9">
        <v>2450</v>
      </c>
      <c r="F239" s="9">
        <v>2300</v>
      </c>
      <c r="G239" s="9">
        <v>400</v>
      </c>
      <c r="H239" s="9">
        <v>772</v>
      </c>
      <c r="I239" s="9">
        <v>405</v>
      </c>
    </row>
    <row r="240" spans="1:9" ht="15.75" customHeight="1" x14ac:dyDescent="0.25">
      <c r="A240" s="5">
        <v>45848</v>
      </c>
      <c r="B240" s="6">
        <v>426</v>
      </c>
      <c r="C240" s="6">
        <v>292</v>
      </c>
      <c r="D240" s="6">
        <v>1450</v>
      </c>
      <c r="E240" s="6">
        <v>2450</v>
      </c>
      <c r="F240" s="6">
        <v>2300</v>
      </c>
      <c r="G240" s="6">
        <v>400</v>
      </c>
      <c r="H240" s="6">
        <v>772</v>
      </c>
      <c r="I240" s="6">
        <v>405</v>
      </c>
    </row>
    <row r="241" spans="1:9" ht="15.75" customHeight="1" x14ac:dyDescent="0.25">
      <c r="A241" s="8">
        <v>45851</v>
      </c>
      <c r="B241" s="9">
        <v>426</v>
      </c>
      <c r="C241" s="9">
        <v>292</v>
      </c>
      <c r="D241" s="9">
        <v>1450</v>
      </c>
      <c r="E241" s="9">
        <v>2450</v>
      </c>
      <c r="F241" s="9">
        <v>2300</v>
      </c>
      <c r="G241" s="9">
        <v>400</v>
      </c>
      <c r="H241" s="9">
        <v>772</v>
      </c>
      <c r="I241" s="9">
        <v>405</v>
      </c>
    </row>
    <row r="242" spans="1:9" ht="15.75" customHeight="1" x14ac:dyDescent="0.25">
      <c r="A242" s="5">
        <v>45853</v>
      </c>
      <c r="B242" s="6">
        <v>426</v>
      </c>
      <c r="C242" s="6">
        <v>292</v>
      </c>
      <c r="D242" s="6">
        <v>1372</v>
      </c>
      <c r="E242" s="6">
        <v>2450</v>
      </c>
      <c r="F242" s="6">
        <v>2300</v>
      </c>
      <c r="G242" s="6">
        <v>400</v>
      </c>
      <c r="H242" s="6">
        <v>772</v>
      </c>
      <c r="I242" s="6">
        <v>405</v>
      </c>
    </row>
    <row r="243" spans="1:9" ht="15.75" customHeight="1" x14ac:dyDescent="0.25">
      <c r="A243" s="8">
        <v>45855</v>
      </c>
      <c r="B243" s="9">
        <v>426</v>
      </c>
      <c r="C243" s="9">
        <v>292</v>
      </c>
      <c r="D243" s="9">
        <v>1440</v>
      </c>
      <c r="E243" s="9">
        <v>2500</v>
      </c>
      <c r="F243" s="9">
        <v>2300</v>
      </c>
      <c r="G243" s="9">
        <v>400</v>
      </c>
      <c r="H243" s="9">
        <v>800</v>
      </c>
      <c r="I243" s="9">
        <v>405</v>
      </c>
    </row>
    <row r="244" spans="1:9" ht="15.75" customHeight="1" x14ac:dyDescent="0.25">
      <c r="A244" s="5">
        <v>45858</v>
      </c>
      <c r="B244" s="6">
        <v>426</v>
      </c>
      <c r="C244" s="6">
        <v>292</v>
      </c>
      <c r="D244" s="6">
        <v>1450</v>
      </c>
      <c r="E244" s="6">
        <v>2500</v>
      </c>
      <c r="F244" s="6">
        <v>2300</v>
      </c>
      <c r="G244" s="6">
        <v>400</v>
      </c>
      <c r="H244" s="6">
        <v>800</v>
      </c>
      <c r="I244" s="6">
        <v>405</v>
      </c>
    </row>
    <row r="245" spans="1:9" ht="15.75" customHeight="1" x14ac:dyDescent="0.25">
      <c r="A245" s="8">
        <v>45860</v>
      </c>
      <c r="B245" s="9">
        <v>426</v>
      </c>
      <c r="C245" s="9">
        <v>292</v>
      </c>
      <c r="D245" s="9">
        <v>1450</v>
      </c>
      <c r="E245" s="9">
        <v>2460</v>
      </c>
      <c r="F245" s="9">
        <v>2283</v>
      </c>
      <c r="G245" s="9">
        <v>400</v>
      </c>
      <c r="H245" s="9">
        <v>800</v>
      </c>
      <c r="I245" s="9">
        <v>405</v>
      </c>
    </row>
    <row r="246" spans="1:9" ht="15.75" customHeight="1" x14ac:dyDescent="0.25">
      <c r="A246" s="5">
        <v>45862</v>
      </c>
      <c r="B246" s="6">
        <v>426</v>
      </c>
      <c r="C246" s="6">
        <v>292</v>
      </c>
      <c r="D246" s="6">
        <v>1435</v>
      </c>
      <c r="E246" s="6">
        <v>2500</v>
      </c>
      <c r="F246" s="6">
        <v>2283</v>
      </c>
      <c r="G246" s="6">
        <v>400</v>
      </c>
      <c r="H246" s="6">
        <v>800</v>
      </c>
      <c r="I246" s="6">
        <v>405</v>
      </c>
    </row>
    <row r="247" spans="1:9" ht="15.75" customHeight="1" x14ac:dyDescent="0.25">
      <c r="A247" s="8">
        <v>45865</v>
      </c>
      <c r="B247" s="9">
        <v>426</v>
      </c>
      <c r="C247" s="9">
        <v>292</v>
      </c>
      <c r="D247" s="9">
        <v>1440</v>
      </c>
      <c r="E247" s="9">
        <v>2500</v>
      </c>
      <c r="F247" s="9">
        <v>2283</v>
      </c>
      <c r="G247" s="9">
        <v>400</v>
      </c>
      <c r="H247" s="9">
        <v>800</v>
      </c>
      <c r="I247" s="9">
        <v>405</v>
      </c>
    </row>
    <row r="248" spans="1:9" ht="15.75" customHeight="1" x14ac:dyDescent="0.25">
      <c r="A248" s="5">
        <v>45867</v>
      </c>
      <c r="B248" s="6">
        <v>426</v>
      </c>
      <c r="C248" s="6">
        <v>292</v>
      </c>
      <c r="D248" s="6">
        <v>1430</v>
      </c>
      <c r="E248" s="6">
        <v>2500</v>
      </c>
      <c r="F248" s="6">
        <v>2283</v>
      </c>
      <c r="G248" s="6">
        <v>400</v>
      </c>
      <c r="H248" s="6">
        <v>800</v>
      </c>
      <c r="I248" s="6">
        <v>405</v>
      </c>
    </row>
    <row r="249" spans="1:9" ht="15.75" customHeight="1" x14ac:dyDescent="0.25">
      <c r="A249" s="8">
        <v>45869</v>
      </c>
      <c r="B249" s="9">
        <v>391</v>
      </c>
      <c r="C249" s="9">
        <v>292</v>
      </c>
      <c r="D249" s="9">
        <v>1429</v>
      </c>
      <c r="E249" s="9">
        <v>2500</v>
      </c>
      <c r="F249" s="9">
        <v>2283</v>
      </c>
      <c r="G249" s="9">
        <v>400</v>
      </c>
      <c r="H249" s="9">
        <v>800</v>
      </c>
      <c r="I249" s="9">
        <v>405</v>
      </c>
    </row>
    <row r="250" spans="1:9" ht="15.75" customHeight="1" x14ac:dyDescent="0.25">
      <c r="A250" s="5">
        <v>45872</v>
      </c>
      <c r="B250" s="6">
        <v>391</v>
      </c>
      <c r="C250" s="6">
        <v>292</v>
      </c>
      <c r="D250" s="6">
        <v>1428</v>
      </c>
      <c r="E250" s="6">
        <v>2500</v>
      </c>
      <c r="F250" s="6">
        <v>2283</v>
      </c>
      <c r="G250" s="6">
        <v>400</v>
      </c>
      <c r="H250" s="6">
        <v>800</v>
      </c>
      <c r="I250" s="6">
        <v>405</v>
      </c>
    </row>
    <row r="251" spans="1:9" ht="15.75" customHeight="1" x14ac:dyDescent="0.25">
      <c r="A251" s="8">
        <v>45874</v>
      </c>
      <c r="B251" s="9">
        <v>430</v>
      </c>
      <c r="C251" s="9">
        <v>292</v>
      </c>
      <c r="D251" s="9">
        <v>1415</v>
      </c>
      <c r="E251" s="9">
        <v>2500</v>
      </c>
      <c r="F251" s="9">
        <v>2280</v>
      </c>
      <c r="G251" s="9">
        <v>400</v>
      </c>
      <c r="H251" s="9">
        <v>800</v>
      </c>
      <c r="I251" s="9">
        <v>405</v>
      </c>
    </row>
    <row r="252" spans="1:9" ht="15.75" customHeight="1" x14ac:dyDescent="0.25">
      <c r="A252" s="5">
        <v>45876</v>
      </c>
      <c r="B252" s="6">
        <v>430</v>
      </c>
      <c r="C252" s="6">
        <v>292</v>
      </c>
      <c r="D252" s="6">
        <v>1400</v>
      </c>
      <c r="E252" s="6">
        <v>2500</v>
      </c>
      <c r="F252" s="6">
        <v>2283</v>
      </c>
      <c r="G252" s="6">
        <v>400</v>
      </c>
      <c r="H252" s="6">
        <v>800</v>
      </c>
      <c r="I252" s="6">
        <v>405</v>
      </c>
    </row>
    <row r="253" spans="1:9" ht="15.75" customHeight="1" x14ac:dyDescent="0.25">
      <c r="A253" s="8">
        <v>45879</v>
      </c>
      <c r="B253" s="9">
        <v>430</v>
      </c>
      <c r="C253" s="9">
        <v>292</v>
      </c>
      <c r="D253" s="9">
        <v>1420</v>
      </c>
      <c r="E253" s="9">
        <v>2500</v>
      </c>
      <c r="F253" s="9">
        <v>2283</v>
      </c>
      <c r="G253" s="9">
        <v>400</v>
      </c>
      <c r="H253" s="9">
        <v>800</v>
      </c>
      <c r="I253" s="9">
        <v>384</v>
      </c>
    </row>
    <row r="254" spans="1:9" ht="15.75" customHeight="1" x14ac:dyDescent="0.25">
      <c r="A254" s="5">
        <v>45881</v>
      </c>
      <c r="B254" s="6">
        <v>430</v>
      </c>
      <c r="C254" s="6">
        <v>292</v>
      </c>
      <c r="D254" s="6">
        <v>1419</v>
      </c>
      <c r="E254" s="6">
        <v>2500</v>
      </c>
      <c r="F254" s="6">
        <v>2283</v>
      </c>
      <c r="G254" s="6">
        <v>400</v>
      </c>
      <c r="H254" s="6">
        <v>800</v>
      </c>
      <c r="I254" s="6">
        <v>384</v>
      </c>
    </row>
    <row r="255" spans="1:9" ht="15.75" customHeight="1" x14ac:dyDescent="0.25">
      <c r="A255" s="8">
        <v>45883</v>
      </c>
      <c r="B255" s="9">
        <v>430</v>
      </c>
      <c r="C255" s="9">
        <v>292</v>
      </c>
      <c r="D255" s="9">
        <v>1418</v>
      </c>
      <c r="E255" s="9">
        <v>2500</v>
      </c>
      <c r="F255" s="9">
        <v>2281</v>
      </c>
      <c r="G255" s="9">
        <v>400</v>
      </c>
      <c r="H255" s="9">
        <v>800</v>
      </c>
      <c r="I255" s="9">
        <v>384</v>
      </c>
    </row>
    <row r="256" spans="1:9" ht="15.75" customHeight="1" x14ac:dyDescent="0.25">
      <c r="A256" s="5">
        <v>45886</v>
      </c>
      <c r="B256" s="6">
        <v>430</v>
      </c>
      <c r="C256" s="6">
        <v>292</v>
      </c>
      <c r="D256" s="6">
        <v>1414</v>
      </c>
      <c r="E256" s="6">
        <v>2500</v>
      </c>
      <c r="F256" s="6">
        <v>2283</v>
      </c>
      <c r="G256" s="6">
        <v>400</v>
      </c>
      <c r="H256" s="6">
        <v>800</v>
      </c>
      <c r="I256" s="6">
        <v>384</v>
      </c>
    </row>
    <row r="257" spans="1:9" ht="15.75" customHeight="1" x14ac:dyDescent="0.25">
      <c r="A257" s="8">
        <v>45888</v>
      </c>
      <c r="B257" s="9">
        <v>430</v>
      </c>
      <c r="C257" s="9">
        <v>292</v>
      </c>
      <c r="D257" s="9">
        <v>1400</v>
      </c>
      <c r="E257" s="9">
        <v>2500</v>
      </c>
      <c r="F257" s="9">
        <v>2281</v>
      </c>
      <c r="G257" s="9">
        <v>400</v>
      </c>
      <c r="H257" s="9">
        <v>800</v>
      </c>
      <c r="I257" s="9">
        <v>384</v>
      </c>
    </row>
    <row r="258" spans="1:9" ht="15.75" customHeight="1" x14ac:dyDescent="0.25">
      <c r="A258" s="5">
        <v>45890</v>
      </c>
      <c r="B258" s="6">
        <v>430</v>
      </c>
      <c r="C258" s="6">
        <v>292</v>
      </c>
      <c r="D258" s="6">
        <v>1400</v>
      </c>
      <c r="E258" s="6">
        <v>2500</v>
      </c>
      <c r="F258" s="6">
        <v>2281</v>
      </c>
      <c r="G258" s="6">
        <v>400</v>
      </c>
      <c r="H258" s="6">
        <v>800</v>
      </c>
      <c r="I258" s="6">
        <v>384</v>
      </c>
    </row>
    <row r="259" spans="1:9" ht="15.75" customHeight="1" x14ac:dyDescent="0.25">
      <c r="A259" s="8">
        <v>45893</v>
      </c>
      <c r="B259" s="9">
        <v>430</v>
      </c>
      <c r="C259" s="9">
        <v>292</v>
      </c>
      <c r="D259" s="9">
        <v>1415</v>
      </c>
      <c r="E259" s="9">
        <v>2500</v>
      </c>
      <c r="F259" s="9">
        <v>2283</v>
      </c>
      <c r="G259" s="9">
        <v>400</v>
      </c>
      <c r="H259" s="9">
        <v>800</v>
      </c>
      <c r="I259" s="9">
        <v>384</v>
      </c>
    </row>
    <row r="260" spans="1:9" ht="15.75" customHeight="1" x14ac:dyDescent="0.25">
      <c r="A260" s="5">
        <v>45895</v>
      </c>
      <c r="B260" s="6">
        <v>430</v>
      </c>
      <c r="C260" s="6">
        <v>292</v>
      </c>
      <c r="D260" s="6">
        <v>1409</v>
      </c>
      <c r="E260" s="6">
        <v>2500</v>
      </c>
      <c r="F260" s="6">
        <v>2281</v>
      </c>
      <c r="G260" s="6">
        <v>400</v>
      </c>
      <c r="H260" s="6">
        <v>800</v>
      </c>
      <c r="I260" s="6">
        <v>384</v>
      </c>
    </row>
    <row r="261" spans="1:9" ht="15.75" customHeight="1" x14ac:dyDescent="0.25">
      <c r="A261" s="8">
        <v>45897</v>
      </c>
      <c r="B261" s="9">
        <v>430</v>
      </c>
      <c r="C261" s="9">
        <v>292</v>
      </c>
      <c r="D261" s="9">
        <v>1414</v>
      </c>
      <c r="E261" s="9">
        <v>2500</v>
      </c>
      <c r="F261" s="9">
        <v>2280</v>
      </c>
      <c r="G261" s="9">
        <v>400</v>
      </c>
      <c r="H261" s="9">
        <v>800</v>
      </c>
      <c r="I261" s="9">
        <v>384</v>
      </c>
    </row>
    <row r="262" spans="1:9" ht="15.75" customHeight="1" x14ac:dyDescent="0.25">
      <c r="A262" s="5">
        <v>45900</v>
      </c>
      <c r="B262" s="6">
        <v>430</v>
      </c>
      <c r="C262" s="6">
        <v>292</v>
      </c>
      <c r="D262" s="6">
        <v>1409</v>
      </c>
      <c r="E262" s="6">
        <v>2340</v>
      </c>
      <c r="F262" s="6">
        <v>2280</v>
      </c>
      <c r="G262" s="6">
        <v>400</v>
      </c>
      <c r="H262" s="6">
        <v>800</v>
      </c>
      <c r="I262" s="6">
        <v>384</v>
      </c>
    </row>
    <row r="263" spans="1:9" ht="15.75" customHeight="1" x14ac:dyDescent="0.25">
      <c r="A263" s="8">
        <v>45902</v>
      </c>
      <c r="B263" s="9">
        <v>430</v>
      </c>
      <c r="C263" s="9">
        <v>292</v>
      </c>
      <c r="D263" s="9">
        <v>1415</v>
      </c>
      <c r="E263" s="9">
        <v>2340</v>
      </c>
      <c r="F263" s="9">
        <v>2278</v>
      </c>
      <c r="G263" s="9">
        <v>400</v>
      </c>
      <c r="H263" s="9">
        <v>800</v>
      </c>
      <c r="I263" s="9">
        <v>384</v>
      </c>
    </row>
    <row r="264" spans="1:9" ht="15.75" customHeight="1" x14ac:dyDescent="0.25">
      <c r="A264" s="5">
        <v>45904</v>
      </c>
      <c r="B264" s="6">
        <v>432</v>
      </c>
      <c r="C264" s="6">
        <v>292</v>
      </c>
      <c r="D264" s="6">
        <v>1415</v>
      </c>
      <c r="E264" s="6">
        <v>2340</v>
      </c>
      <c r="F264" s="6">
        <v>2277</v>
      </c>
      <c r="G264" s="6">
        <v>400</v>
      </c>
      <c r="H264" s="6">
        <v>800</v>
      </c>
      <c r="I264" s="6">
        <v>391</v>
      </c>
    </row>
    <row r="265" spans="1:9" ht="15.75" customHeight="1" x14ac:dyDescent="0.25">
      <c r="A265" s="8">
        <v>45907</v>
      </c>
      <c r="B265" s="9">
        <v>432</v>
      </c>
      <c r="C265" s="9">
        <v>292</v>
      </c>
      <c r="D265" s="9">
        <v>1415</v>
      </c>
      <c r="E265" s="9">
        <v>2340</v>
      </c>
      <c r="F265" s="9">
        <v>2277</v>
      </c>
      <c r="G265" s="9">
        <v>400</v>
      </c>
      <c r="H265" s="9">
        <v>800</v>
      </c>
      <c r="I265" s="9">
        <v>384</v>
      </c>
    </row>
    <row r="266" spans="1:9" ht="15.75" customHeight="1" x14ac:dyDescent="0.25">
      <c r="A266" s="5">
        <v>45909</v>
      </c>
      <c r="B266" s="6">
        <v>432</v>
      </c>
      <c r="C266" s="6">
        <v>292</v>
      </c>
      <c r="D266" s="6">
        <v>1409</v>
      </c>
      <c r="E266" s="6">
        <v>2340</v>
      </c>
      <c r="F266" s="6">
        <v>2270</v>
      </c>
      <c r="G266" s="6">
        <v>400</v>
      </c>
      <c r="H266" s="6">
        <v>800</v>
      </c>
      <c r="I266" s="6">
        <v>384</v>
      </c>
    </row>
    <row r="267" spans="1:9" ht="15.75" customHeight="1" x14ac:dyDescent="0.25">
      <c r="A267" s="8">
        <v>45911</v>
      </c>
      <c r="B267" s="9">
        <v>450</v>
      </c>
      <c r="C267" s="9">
        <v>292</v>
      </c>
      <c r="D267" s="9">
        <v>1409</v>
      </c>
      <c r="E267" s="9">
        <v>2351</v>
      </c>
      <c r="F267" s="9">
        <v>2269</v>
      </c>
      <c r="G267" s="9">
        <v>400</v>
      </c>
      <c r="H267" s="9">
        <v>800</v>
      </c>
      <c r="I267" s="9">
        <v>384</v>
      </c>
    </row>
    <row r="268" spans="1:9" ht="15.75" customHeight="1" x14ac:dyDescent="0.25">
      <c r="A268" s="5">
        <v>45914</v>
      </c>
      <c r="B268" s="6">
        <v>450</v>
      </c>
      <c r="C268" s="6">
        <v>292</v>
      </c>
      <c r="D268" s="6">
        <v>1400</v>
      </c>
      <c r="E268" s="6">
        <v>2351</v>
      </c>
      <c r="F268" s="6">
        <v>2269</v>
      </c>
      <c r="G268" s="6">
        <v>400</v>
      </c>
      <c r="H268" s="6">
        <v>800</v>
      </c>
      <c r="I268" s="6">
        <v>384</v>
      </c>
    </row>
    <row r="269" spans="1:9" ht="15.75" customHeight="1" x14ac:dyDescent="0.25">
      <c r="A269" s="8">
        <v>45916</v>
      </c>
      <c r="B269" s="9">
        <v>450</v>
      </c>
      <c r="C269" s="9">
        <v>292</v>
      </c>
      <c r="D269" s="9">
        <v>1400</v>
      </c>
      <c r="E269" s="9">
        <v>2351</v>
      </c>
      <c r="F269" s="9">
        <v>2260</v>
      </c>
      <c r="G269" s="9">
        <v>400</v>
      </c>
      <c r="H269" s="9">
        <v>800</v>
      </c>
      <c r="I269" s="9">
        <v>384</v>
      </c>
    </row>
    <row r="270" spans="1:9" ht="15.75" customHeight="1" x14ac:dyDescent="0.25">
      <c r="A270" s="5">
        <v>45918</v>
      </c>
      <c r="B270" s="6">
        <v>450</v>
      </c>
      <c r="C270" s="6">
        <v>292</v>
      </c>
      <c r="D270" s="6">
        <v>1409</v>
      </c>
      <c r="E270" s="6">
        <v>2351</v>
      </c>
      <c r="F270" s="6">
        <v>2229</v>
      </c>
      <c r="G270" s="6">
        <v>400</v>
      </c>
      <c r="H270" s="6">
        <v>800</v>
      </c>
      <c r="I270" s="6">
        <v>385</v>
      </c>
    </row>
    <row r="271" spans="1:9" ht="15.75" customHeight="1" x14ac:dyDescent="0.25">
      <c r="A271" s="8">
        <v>45921</v>
      </c>
      <c r="B271" s="9">
        <v>450</v>
      </c>
      <c r="C271" s="9">
        <v>292</v>
      </c>
      <c r="D271" s="9">
        <v>1410</v>
      </c>
      <c r="E271" s="9">
        <v>2351</v>
      </c>
      <c r="F271" s="9">
        <v>2229</v>
      </c>
      <c r="G271" s="9">
        <v>400</v>
      </c>
      <c r="H271" s="9">
        <v>800</v>
      </c>
      <c r="I271" s="9">
        <v>385</v>
      </c>
    </row>
    <row r="272" spans="1:9" ht="15.75" customHeight="1" x14ac:dyDescent="0.25">
      <c r="A272" s="5">
        <v>45923</v>
      </c>
      <c r="B272" s="6">
        <v>450</v>
      </c>
      <c r="C272" s="6">
        <v>292</v>
      </c>
      <c r="D272" s="6">
        <v>1410</v>
      </c>
      <c r="E272" s="6">
        <v>2351</v>
      </c>
      <c r="F272" s="6">
        <v>2229</v>
      </c>
      <c r="G272" s="6">
        <v>400</v>
      </c>
      <c r="H272" s="6">
        <v>800</v>
      </c>
      <c r="I272" s="6">
        <v>400</v>
      </c>
    </row>
    <row r="273" spans="1:9" ht="15.75" customHeight="1" x14ac:dyDescent="0.25">
      <c r="A273" s="8">
        <v>45925</v>
      </c>
      <c r="B273" s="9">
        <v>450</v>
      </c>
      <c r="C273" s="9">
        <v>292</v>
      </c>
      <c r="D273" s="9">
        <v>1410</v>
      </c>
      <c r="E273" s="9">
        <v>2351</v>
      </c>
      <c r="F273" s="9">
        <v>2118</v>
      </c>
      <c r="G273" s="9">
        <v>400</v>
      </c>
      <c r="H273" s="9">
        <v>720</v>
      </c>
      <c r="I273" s="9">
        <v>400</v>
      </c>
    </row>
    <row r="274" spans="1:9" ht="15.75" customHeight="1" x14ac:dyDescent="0.25">
      <c r="A274" s="5">
        <v>45928</v>
      </c>
      <c r="B274" s="6">
        <v>450</v>
      </c>
      <c r="C274" s="6">
        <v>292</v>
      </c>
      <c r="D274" s="6">
        <v>1415</v>
      </c>
      <c r="E274" s="6">
        <v>2351</v>
      </c>
      <c r="F274" s="6">
        <v>2118</v>
      </c>
      <c r="G274" s="6">
        <v>400</v>
      </c>
      <c r="H274" s="6">
        <v>720</v>
      </c>
      <c r="I274" s="6">
        <v>400</v>
      </c>
    </row>
    <row r="275" spans="1:9" ht="15.75" customHeight="1" x14ac:dyDescent="0.25">
      <c r="A275" s="8">
        <v>45930</v>
      </c>
      <c r="B275" s="9">
        <v>450</v>
      </c>
      <c r="C275" s="9">
        <v>290</v>
      </c>
      <c r="D275" s="9">
        <v>1415</v>
      </c>
      <c r="E275" s="9">
        <v>2460</v>
      </c>
      <c r="F275" s="9">
        <v>2113</v>
      </c>
      <c r="G275" s="9">
        <v>400</v>
      </c>
      <c r="H275" s="9">
        <v>720</v>
      </c>
      <c r="I275" s="9">
        <v>400</v>
      </c>
    </row>
    <row r="276" spans="1:9" ht="15.75" customHeight="1" x14ac:dyDescent="0.25">
      <c r="A276" s="5">
        <v>45932</v>
      </c>
      <c r="B276" s="6">
        <v>450</v>
      </c>
      <c r="C276" s="6">
        <v>290</v>
      </c>
      <c r="D276" s="6">
        <v>1415</v>
      </c>
      <c r="E276" s="6">
        <v>2460</v>
      </c>
      <c r="F276" s="6">
        <v>2095</v>
      </c>
      <c r="G276" s="6">
        <v>400</v>
      </c>
      <c r="H276" s="6">
        <v>720</v>
      </c>
      <c r="I276" s="6">
        <v>400</v>
      </c>
    </row>
    <row r="277" spans="1:9" ht="15.75" customHeight="1" x14ac:dyDescent="0.25">
      <c r="A277" s="8">
        <v>45935</v>
      </c>
      <c r="B277" s="9">
        <v>450</v>
      </c>
      <c r="C277" s="9">
        <v>290</v>
      </c>
      <c r="D277" s="9">
        <v>1415</v>
      </c>
      <c r="E277" s="9">
        <v>2460</v>
      </c>
      <c r="F277" s="9">
        <v>2090</v>
      </c>
      <c r="G277" s="9">
        <v>400</v>
      </c>
      <c r="H277" s="9">
        <v>720</v>
      </c>
      <c r="I277" s="9">
        <v>400</v>
      </c>
    </row>
    <row r="278" spans="1:9" ht="15.75" customHeight="1" x14ac:dyDescent="0.25">
      <c r="A278" s="5">
        <v>45937</v>
      </c>
      <c r="B278" s="6">
        <v>450</v>
      </c>
      <c r="C278" s="6">
        <v>290</v>
      </c>
      <c r="D278" s="6">
        <v>1420</v>
      </c>
      <c r="E278" s="6">
        <v>2460</v>
      </c>
      <c r="F278" s="6">
        <v>2000</v>
      </c>
      <c r="G278" s="6">
        <v>400</v>
      </c>
      <c r="H278" s="6">
        <v>720</v>
      </c>
      <c r="I278" s="6">
        <v>385</v>
      </c>
    </row>
    <row r="279" spans="1:9" ht="15.75" customHeight="1" x14ac:dyDescent="0.25">
      <c r="A279" s="8">
        <v>45939</v>
      </c>
      <c r="B279" s="9">
        <v>450</v>
      </c>
      <c r="C279" s="9">
        <v>290</v>
      </c>
      <c r="D279" s="9">
        <v>1420</v>
      </c>
      <c r="E279" s="9">
        <v>2460</v>
      </c>
      <c r="F279" s="9">
        <v>2000</v>
      </c>
      <c r="G279" s="9">
        <v>400</v>
      </c>
      <c r="H279" s="9">
        <v>720</v>
      </c>
      <c r="I279" s="9">
        <v>385</v>
      </c>
    </row>
    <row r="280" spans="1:9" ht="15.75" customHeight="1" x14ac:dyDescent="0.25">
      <c r="A280" s="5">
        <v>45942</v>
      </c>
      <c r="B280" s="6">
        <v>450</v>
      </c>
      <c r="C280" s="6">
        <v>290</v>
      </c>
      <c r="D280" s="6">
        <v>1410</v>
      </c>
      <c r="E280" s="6">
        <v>2460</v>
      </c>
      <c r="F280" s="6">
        <v>2070</v>
      </c>
      <c r="G280" s="6">
        <v>400</v>
      </c>
      <c r="H280" s="6">
        <v>720</v>
      </c>
      <c r="I280" s="6">
        <v>400</v>
      </c>
    </row>
    <row r="281" spans="1:9" ht="15.75" customHeight="1" x14ac:dyDescent="0.25">
      <c r="A281" s="8">
        <v>45944</v>
      </c>
      <c r="B281" s="9">
        <v>450</v>
      </c>
      <c r="C281" s="9">
        <v>290</v>
      </c>
      <c r="D281" s="9">
        <v>1400</v>
      </c>
      <c r="E281" s="9">
        <v>2460</v>
      </c>
      <c r="F281" s="9">
        <v>2070</v>
      </c>
      <c r="G281" s="9">
        <v>400</v>
      </c>
      <c r="H281" s="9">
        <v>720</v>
      </c>
      <c r="I281" s="9">
        <v>400</v>
      </c>
    </row>
    <row r="282" spans="1:9" ht="15.75" customHeight="1" x14ac:dyDescent="0.25">
      <c r="A282" s="5">
        <v>45946</v>
      </c>
      <c r="B282" s="6">
        <v>450</v>
      </c>
      <c r="C282" s="6">
        <v>290</v>
      </c>
      <c r="D282" s="6">
        <v>1410</v>
      </c>
      <c r="E282" s="6">
        <v>2460</v>
      </c>
      <c r="F282" s="6">
        <v>2173</v>
      </c>
      <c r="G282" s="6">
        <v>400</v>
      </c>
      <c r="H282" s="6">
        <v>720</v>
      </c>
      <c r="I282" s="6">
        <v>400</v>
      </c>
    </row>
    <row r="283" spans="1:9" ht="15.75" customHeight="1" x14ac:dyDescent="0.25">
      <c r="A283" s="8">
        <v>45949</v>
      </c>
      <c r="B283" s="9">
        <v>450</v>
      </c>
      <c r="C283" s="9">
        <v>290</v>
      </c>
      <c r="D283" s="9">
        <v>1410</v>
      </c>
      <c r="E283" s="9">
        <v>2460</v>
      </c>
      <c r="F283" s="9">
        <v>2250</v>
      </c>
      <c r="G283" s="9">
        <v>400</v>
      </c>
      <c r="H283" s="9">
        <v>720</v>
      </c>
      <c r="I283" s="9">
        <v>400</v>
      </c>
    </row>
    <row r="284" spans="1:9" ht="15.75" customHeight="1" x14ac:dyDescent="0.25">
      <c r="A284" s="5">
        <v>45951</v>
      </c>
      <c r="B284" s="6">
        <v>450</v>
      </c>
      <c r="C284" s="6">
        <v>290</v>
      </c>
      <c r="D284" s="6">
        <v>1410</v>
      </c>
      <c r="E284" s="6">
        <v>2460</v>
      </c>
      <c r="F284" s="6">
        <v>2250</v>
      </c>
      <c r="G284" s="6">
        <v>380</v>
      </c>
      <c r="H284" s="6">
        <v>720</v>
      </c>
      <c r="I284" s="6">
        <v>400</v>
      </c>
    </row>
    <row r="285" spans="1:9" ht="15.75" customHeight="1" x14ac:dyDescent="0.25">
      <c r="A285" s="8">
        <v>45953</v>
      </c>
      <c r="B285" s="9">
        <v>450</v>
      </c>
      <c r="C285" s="9">
        <v>290</v>
      </c>
      <c r="D285" s="9">
        <v>1410</v>
      </c>
      <c r="E285" s="9">
        <v>2460</v>
      </c>
      <c r="F285" s="9">
        <v>2260</v>
      </c>
      <c r="G285" s="9">
        <v>380</v>
      </c>
      <c r="H285" s="9">
        <v>720</v>
      </c>
      <c r="I285" s="9">
        <v>400</v>
      </c>
    </row>
    <row r="286" spans="1:9" ht="15.75" customHeight="1" x14ac:dyDescent="0.25">
      <c r="A286" s="5">
        <v>45956</v>
      </c>
      <c r="B286" s="6">
        <v>450</v>
      </c>
      <c r="C286" s="6">
        <v>290</v>
      </c>
      <c r="D286" s="6">
        <v>1410</v>
      </c>
      <c r="E286" s="6">
        <v>2460</v>
      </c>
      <c r="F286" s="6">
        <v>2265</v>
      </c>
      <c r="G286" s="6">
        <v>380</v>
      </c>
      <c r="H286" s="6">
        <v>720</v>
      </c>
      <c r="I286" s="6">
        <v>400</v>
      </c>
    </row>
    <row r="287" spans="1:9" ht="15.75" customHeight="1" x14ac:dyDescent="0.25">
      <c r="A287" s="8">
        <v>45958</v>
      </c>
      <c r="B287" s="9">
        <v>450</v>
      </c>
      <c r="C287" s="9">
        <v>290</v>
      </c>
      <c r="D287" s="9">
        <v>1410</v>
      </c>
      <c r="E287" s="9">
        <v>2460</v>
      </c>
      <c r="F287" s="9">
        <v>2295</v>
      </c>
      <c r="G287" s="9">
        <v>380</v>
      </c>
      <c r="H287" s="9">
        <v>720</v>
      </c>
      <c r="I287" s="9">
        <v>400</v>
      </c>
    </row>
    <row r="288" spans="1:9" ht="15.75" customHeight="1" x14ac:dyDescent="0.25">
      <c r="A288" s="5">
        <v>45960</v>
      </c>
      <c r="B288" s="6">
        <v>450</v>
      </c>
      <c r="C288" s="6">
        <v>290</v>
      </c>
      <c r="D288" s="6">
        <v>1410</v>
      </c>
      <c r="E288" s="6">
        <v>2460</v>
      </c>
      <c r="F288" s="6">
        <v>2300</v>
      </c>
      <c r="G288" s="6">
        <v>380</v>
      </c>
      <c r="H288" s="6">
        <v>790</v>
      </c>
      <c r="I288" s="6">
        <v>385</v>
      </c>
    </row>
    <row r="289" spans="1:9" ht="15.75" customHeight="1" x14ac:dyDescent="0.25">
      <c r="A289" s="8">
        <v>45963</v>
      </c>
      <c r="B289" s="9">
        <v>450</v>
      </c>
      <c r="C289" s="9">
        <v>290</v>
      </c>
      <c r="D289" s="9">
        <v>1410</v>
      </c>
      <c r="E289" s="9">
        <v>2460</v>
      </c>
      <c r="F289" s="9">
        <v>2300</v>
      </c>
      <c r="G289" s="9">
        <v>380</v>
      </c>
      <c r="H289" s="9">
        <v>790</v>
      </c>
      <c r="I289" s="9">
        <v>385</v>
      </c>
    </row>
    <row r="290" spans="1:9" ht="15.75" customHeight="1" x14ac:dyDescent="0.25">
      <c r="A290" s="5">
        <v>45965</v>
      </c>
      <c r="B290" s="6">
        <v>450</v>
      </c>
      <c r="C290" s="6">
        <v>290</v>
      </c>
      <c r="D290" s="6">
        <v>1410</v>
      </c>
      <c r="E290" s="6">
        <v>2500</v>
      </c>
      <c r="F290" s="6">
        <v>2300</v>
      </c>
      <c r="G290" s="6">
        <v>380</v>
      </c>
      <c r="H290" s="6">
        <v>790</v>
      </c>
      <c r="I290" s="6">
        <v>385</v>
      </c>
    </row>
    <row r="291" spans="1:9" ht="15.75" customHeight="1" x14ac:dyDescent="0.25">
      <c r="A291" s="8">
        <v>45967</v>
      </c>
      <c r="B291" s="9">
        <v>450</v>
      </c>
      <c r="C291" s="9">
        <v>290</v>
      </c>
      <c r="D291" s="9">
        <v>1404</v>
      </c>
      <c r="E291" s="9">
        <v>2501</v>
      </c>
      <c r="F291" s="9">
        <v>2300</v>
      </c>
      <c r="G291" s="9">
        <v>380</v>
      </c>
      <c r="H291" s="9">
        <v>730</v>
      </c>
      <c r="I291" s="9">
        <v>385</v>
      </c>
    </row>
    <row r="292" spans="1:9" ht="15.75" customHeight="1" x14ac:dyDescent="0.25">
      <c r="A292" s="5">
        <v>45970</v>
      </c>
      <c r="B292" s="6">
        <v>450</v>
      </c>
      <c r="C292" s="6">
        <v>290</v>
      </c>
      <c r="D292" s="6">
        <v>1400</v>
      </c>
      <c r="E292" s="6">
        <v>2501</v>
      </c>
      <c r="F292" s="6">
        <v>2300</v>
      </c>
      <c r="G292" s="6">
        <v>361</v>
      </c>
      <c r="H292" s="6">
        <v>730</v>
      </c>
      <c r="I292" s="6">
        <v>385</v>
      </c>
    </row>
    <row r="293" spans="1:9" ht="15.75" customHeight="1" x14ac:dyDescent="0.25">
      <c r="A293" s="8">
        <v>45972</v>
      </c>
      <c r="B293" s="9">
        <v>450</v>
      </c>
      <c r="C293" s="9">
        <v>290</v>
      </c>
      <c r="D293" s="9">
        <v>1400</v>
      </c>
      <c r="E293" s="9">
        <v>2501</v>
      </c>
      <c r="F293" s="9">
        <v>2299</v>
      </c>
      <c r="G293" s="9">
        <v>361</v>
      </c>
      <c r="H293" s="9">
        <v>730</v>
      </c>
      <c r="I293" s="9">
        <v>400</v>
      </c>
    </row>
    <row r="294" spans="1:9" ht="15.75" customHeight="1" x14ac:dyDescent="0.25">
      <c r="A294" s="5">
        <v>45974</v>
      </c>
      <c r="B294" s="6">
        <v>450</v>
      </c>
      <c r="C294" s="6">
        <v>290</v>
      </c>
      <c r="D294" s="6">
        <v>1400</v>
      </c>
      <c r="E294" s="6">
        <v>2501</v>
      </c>
      <c r="F294" s="6">
        <v>2299</v>
      </c>
      <c r="G294" s="6">
        <v>361</v>
      </c>
      <c r="H294" s="6">
        <v>730</v>
      </c>
      <c r="I294" s="6">
        <v>400</v>
      </c>
    </row>
    <row r="295" spans="1:9" ht="15.75" customHeight="1" x14ac:dyDescent="0.25">
      <c r="A295" s="8">
        <v>45977</v>
      </c>
      <c r="B295" s="9">
        <v>450</v>
      </c>
      <c r="C295" s="9">
        <v>290</v>
      </c>
      <c r="D295" s="9">
        <v>1400</v>
      </c>
      <c r="E295" s="9">
        <v>2500</v>
      </c>
      <c r="F295" s="9">
        <v>2300</v>
      </c>
      <c r="G295" s="9">
        <v>361</v>
      </c>
      <c r="H295" s="9">
        <v>730</v>
      </c>
      <c r="I295" s="9">
        <v>400</v>
      </c>
    </row>
    <row r="296" spans="1:9" ht="15.75" customHeight="1" x14ac:dyDescent="0.25">
      <c r="A296" s="5">
        <v>45979</v>
      </c>
      <c r="B296" s="6">
        <v>450</v>
      </c>
      <c r="C296" s="6">
        <v>290</v>
      </c>
      <c r="D296" s="6">
        <v>1400</v>
      </c>
      <c r="E296" s="6">
        <v>2500</v>
      </c>
      <c r="F296" s="6">
        <v>2300</v>
      </c>
      <c r="G296" s="6">
        <v>361</v>
      </c>
      <c r="H296" s="6">
        <v>730</v>
      </c>
      <c r="I296" s="6">
        <v>400</v>
      </c>
    </row>
    <row r="297" spans="1:9" ht="15.75" customHeight="1" x14ac:dyDescent="0.25">
      <c r="A297" s="8">
        <v>45981</v>
      </c>
      <c r="B297" s="9">
        <v>450</v>
      </c>
      <c r="C297" s="9">
        <v>290</v>
      </c>
      <c r="D297" s="9">
        <v>1400</v>
      </c>
      <c r="E297" s="9">
        <v>2500</v>
      </c>
      <c r="F297" s="9">
        <v>2300</v>
      </c>
      <c r="G297" s="9">
        <v>361</v>
      </c>
      <c r="H297" s="9">
        <v>730</v>
      </c>
      <c r="I297" s="9">
        <v>400</v>
      </c>
    </row>
    <row r="298" spans="1:9" ht="15.75" customHeight="1" x14ac:dyDescent="0.25">
      <c r="A298" s="5">
        <v>45984</v>
      </c>
      <c r="B298" s="6">
        <v>450</v>
      </c>
      <c r="C298" s="6">
        <v>290</v>
      </c>
      <c r="D298" s="6">
        <v>1400</v>
      </c>
      <c r="E298" s="6">
        <v>2500</v>
      </c>
      <c r="F298" s="6">
        <v>2300</v>
      </c>
      <c r="G298" s="6">
        <v>361</v>
      </c>
      <c r="H298" s="6">
        <v>730</v>
      </c>
      <c r="I298" s="6">
        <v>400</v>
      </c>
    </row>
    <row r="299" spans="1:9" ht="15.75" customHeight="1" x14ac:dyDescent="0.25">
      <c r="A299" s="8">
        <v>45986</v>
      </c>
      <c r="B299" s="9">
        <v>450</v>
      </c>
      <c r="C299" s="9">
        <v>290</v>
      </c>
      <c r="D299" s="9">
        <v>1400</v>
      </c>
      <c r="E299" s="9">
        <v>2500</v>
      </c>
      <c r="F299" s="9">
        <v>2299</v>
      </c>
      <c r="G299" s="9">
        <v>361</v>
      </c>
      <c r="H299" s="9">
        <v>730</v>
      </c>
      <c r="I299" s="9">
        <v>400</v>
      </c>
    </row>
    <row r="300" spans="1:9" ht="15.75" customHeight="1" x14ac:dyDescent="0.25">
      <c r="A300" s="5">
        <v>45988</v>
      </c>
      <c r="B300" s="6">
        <v>300</v>
      </c>
      <c r="C300" s="6">
        <v>290</v>
      </c>
      <c r="D300" s="6">
        <v>1400</v>
      </c>
      <c r="E300" s="6">
        <v>2501</v>
      </c>
      <c r="F300" s="6">
        <v>2300</v>
      </c>
      <c r="G300" s="6">
        <v>361</v>
      </c>
      <c r="H300" s="6">
        <v>800</v>
      </c>
      <c r="I300" s="6">
        <v>400</v>
      </c>
    </row>
    <row r="301" spans="1:9" ht="15.75" customHeight="1" x14ac:dyDescent="0.25">
      <c r="A301" s="8">
        <v>45991</v>
      </c>
      <c r="B301" s="9">
        <v>300</v>
      </c>
      <c r="C301" s="9">
        <v>290</v>
      </c>
      <c r="D301" s="9">
        <v>1400</v>
      </c>
      <c r="E301" s="9">
        <v>2501</v>
      </c>
      <c r="F301" s="9">
        <v>2299</v>
      </c>
      <c r="G301" s="9">
        <v>361</v>
      </c>
      <c r="H301" s="9">
        <v>800</v>
      </c>
      <c r="I301" s="9">
        <v>420</v>
      </c>
    </row>
    <row r="302" spans="1:9" ht="15.75" customHeight="1" x14ac:dyDescent="0.25">
      <c r="A302" s="5">
        <v>45993</v>
      </c>
      <c r="B302" s="6">
        <v>315</v>
      </c>
      <c r="C302" s="6">
        <v>290</v>
      </c>
      <c r="D302" s="6">
        <v>1400</v>
      </c>
      <c r="E302" s="6">
        <v>2501</v>
      </c>
      <c r="F302" s="6">
        <v>2300</v>
      </c>
      <c r="G302" s="6">
        <v>360</v>
      </c>
      <c r="H302" s="6">
        <v>800</v>
      </c>
      <c r="I302" s="6">
        <v>420</v>
      </c>
    </row>
    <row r="303" spans="1:9" ht="15.75" customHeight="1" x14ac:dyDescent="0.25">
      <c r="A303" s="8">
        <v>45995</v>
      </c>
      <c r="B303" s="9">
        <v>315</v>
      </c>
      <c r="C303" s="9">
        <v>290</v>
      </c>
      <c r="D303" s="9">
        <v>1400</v>
      </c>
      <c r="E303" s="9">
        <v>2501</v>
      </c>
      <c r="F303" s="9">
        <v>2300</v>
      </c>
      <c r="G303" s="9">
        <v>360</v>
      </c>
      <c r="H303" s="9">
        <v>800</v>
      </c>
      <c r="I303" s="9">
        <v>420</v>
      </c>
    </row>
    <row r="304" spans="1:9" ht="15.75" customHeight="1" x14ac:dyDescent="0.25">
      <c r="A304" s="5">
        <v>45998</v>
      </c>
      <c r="B304" s="6">
        <v>315</v>
      </c>
      <c r="C304" s="6">
        <v>290</v>
      </c>
      <c r="D304" s="6">
        <v>1400</v>
      </c>
      <c r="E304" s="6">
        <v>2501</v>
      </c>
      <c r="F304" s="6">
        <v>2299</v>
      </c>
      <c r="G304" s="6">
        <v>360</v>
      </c>
      <c r="H304" s="6">
        <v>800</v>
      </c>
      <c r="I304" s="6">
        <v>420</v>
      </c>
    </row>
    <row r="305" spans="1:9" ht="15.75" customHeight="1" x14ac:dyDescent="0.25">
      <c r="A305" s="8">
        <v>46000</v>
      </c>
      <c r="B305" s="9">
        <v>316</v>
      </c>
      <c r="C305" s="9">
        <v>290</v>
      </c>
      <c r="D305" s="9">
        <v>1400</v>
      </c>
      <c r="E305" s="9">
        <v>2501</v>
      </c>
      <c r="F305" s="9">
        <v>2299</v>
      </c>
      <c r="G305" s="9">
        <v>360</v>
      </c>
      <c r="H305" s="9">
        <v>870</v>
      </c>
      <c r="I305" s="9">
        <v>420</v>
      </c>
    </row>
    <row r="306" spans="1:9" ht="15.75" customHeight="1" x14ac:dyDescent="0.25">
      <c r="A306" s="5">
        <v>46002</v>
      </c>
      <c r="B306" s="6">
        <v>316</v>
      </c>
      <c r="C306" s="6">
        <v>290</v>
      </c>
      <c r="D306" s="6">
        <v>1400</v>
      </c>
      <c r="E306" s="6">
        <v>2501</v>
      </c>
      <c r="F306" s="6">
        <v>2300</v>
      </c>
      <c r="G306" s="6">
        <v>360</v>
      </c>
      <c r="H306" s="6">
        <v>870</v>
      </c>
      <c r="I306" s="6">
        <v>420</v>
      </c>
    </row>
    <row r="307" spans="1:9" ht="15.75" customHeight="1" x14ac:dyDescent="0.25">
      <c r="A307" s="8">
        <v>46005</v>
      </c>
      <c r="B307" s="9">
        <v>319</v>
      </c>
      <c r="C307" s="9">
        <v>290</v>
      </c>
      <c r="D307" s="9">
        <v>1400</v>
      </c>
      <c r="E307" s="9">
        <v>2501</v>
      </c>
      <c r="F307" s="9">
        <v>2300</v>
      </c>
      <c r="G307" s="9">
        <v>360</v>
      </c>
      <c r="H307" s="9">
        <v>870</v>
      </c>
      <c r="I307" s="9">
        <v>420</v>
      </c>
    </row>
    <row r="308" spans="1:9" ht="15.75" customHeight="1" x14ac:dyDescent="0.25">
      <c r="A308" s="5">
        <v>46007</v>
      </c>
      <c r="B308" s="6">
        <v>319</v>
      </c>
      <c r="C308" s="6">
        <v>290</v>
      </c>
      <c r="D308" s="6">
        <v>1400</v>
      </c>
      <c r="E308" s="6">
        <v>2501</v>
      </c>
      <c r="F308" s="6">
        <v>2299</v>
      </c>
      <c r="G308" s="6">
        <v>360</v>
      </c>
      <c r="H308" s="6">
        <v>870</v>
      </c>
      <c r="I308" s="6">
        <v>420</v>
      </c>
    </row>
    <row r="309" spans="1:9" ht="15.75" customHeight="1" x14ac:dyDescent="0.25">
      <c r="A309" s="8">
        <v>46009</v>
      </c>
      <c r="B309" s="9">
        <v>319</v>
      </c>
      <c r="C309" s="9">
        <v>290</v>
      </c>
      <c r="D309" s="9">
        <v>1400</v>
      </c>
      <c r="E309" s="9">
        <v>2501</v>
      </c>
      <c r="F309" s="9">
        <v>2300</v>
      </c>
      <c r="G309" s="9">
        <v>360</v>
      </c>
      <c r="H309" s="9">
        <v>800</v>
      </c>
      <c r="I309" s="9">
        <v>420</v>
      </c>
    </row>
    <row r="310" spans="1:9" ht="15.75" customHeight="1" x14ac:dyDescent="0.25">
      <c r="A310" s="5">
        <v>46012</v>
      </c>
      <c r="B310" s="6">
        <v>319</v>
      </c>
      <c r="C310" s="6">
        <v>290</v>
      </c>
      <c r="D310" s="6">
        <v>1400</v>
      </c>
      <c r="E310" s="6">
        <v>2501</v>
      </c>
      <c r="F310" s="6">
        <v>2300</v>
      </c>
      <c r="G310" s="6">
        <v>360</v>
      </c>
      <c r="H310" s="6">
        <v>800</v>
      </c>
      <c r="I310" s="6">
        <v>420</v>
      </c>
    </row>
    <row r="311" spans="1:9" ht="15.75" customHeight="1" x14ac:dyDescent="0.25">
      <c r="A311" s="8">
        <v>46014</v>
      </c>
      <c r="B311" s="9">
        <v>330</v>
      </c>
      <c r="C311" s="9">
        <v>290</v>
      </c>
      <c r="D311" s="9">
        <v>1400</v>
      </c>
      <c r="E311" s="9">
        <v>2501</v>
      </c>
      <c r="F311" s="9">
        <v>2300</v>
      </c>
      <c r="G311" s="9">
        <v>360</v>
      </c>
      <c r="H311" s="9">
        <v>800</v>
      </c>
      <c r="I311" s="9">
        <v>420</v>
      </c>
    </row>
    <row r="312" spans="1:9" ht="15.75" customHeight="1" x14ac:dyDescent="0.25">
      <c r="A312" s="5">
        <v>46016</v>
      </c>
      <c r="B312" s="6">
        <v>330</v>
      </c>
      <c r="C312" s="6">
        <v>290</v>
      </c>
      <c r="D312" s="6">
        <v>1400</v>
      </c>
      <c r="E312" s="6">
        <v>2501</v>
      </c>
      <c r="F312" s="6">
        <v>2300</v>
      </c>
      <c r="G312" s="6">
        <v>360</v>
      </c>
      <c r="H312" s="6">
        <v>800</v>
      </c>
      <c r="I312" s="6">
        <v>420</v>
      </c>
    </row>
    <row r="313" spans="1:9" ht="15.75" customHeight="1" x14ac:dyDescent="0.25">
      <c r="A313" s="8">
        <v>46019</v>
      </c>
      <c r="B313" s="9">
        <v>330</v>
      </c>
      <c r="C313" s="9">
        <v>290</v>
      </c>
      <c r="D313" s="9">
        <v>1400</v>
      </c>
      <c r="E313" s="9">
        <v>2501</v>
      </c>
      <c r="F313" s="9">
        <v>2300</v>
      </c>
      <c r="G313" s="9">
        <v>360</v>
      </c>
      <c r="H313" s="9">
        <v>800</v>
      </c>
      <c r="I313" s="9">
        <v>420</v>
      </c>
    </row>
    <row r="314" spans="1:9" ht="15.75" customHeight="1" x14ac:dyDescent="0.25">
      <c r="A314" s="5">
        <v>46021</v>
      </c>
      <c r="B314" s="6">
        <v>330</v>
      </c>
      <c r="C314" s="6">
        <v>290</v>
      </c>
      <c r="D314" s="6">
        <v>1410</v>
      </c>
      <c r="E314" s="6">
        <v>2501</v>
      </c>
      <c r="F314" s="6">
        <v>2300</v>
      </c>
      <c r="G314" s="6">
        <v>360</v>
      </c>
      <c r="H314" s="6">
        <v>800</v>
      </c>
      <c r="I314" s="6">
        <v>420</v>
      </c>
    </row>
    <row r="315" spans="1:9" ht="15.75" customHeight="1" x14ac:dyDescent="0.25">
      <c r="A315" s="8">
        <v>46026</v>
      </c>
      <c r="B315" s="9">
        <v>330</v>
      </c>
      <c r="C315" s="9">
        <v>290</v>
      </c>
      <c r="D315" s="9">
        <v>1410</v>
      </c>
      <c r="E315" s="9">
        <v>2501</v>
      </c>
      <c r="F315" s="9">
        <v>2300</v>
      </c>
      <c r="G315" s="9">
        <v>360</v>
      </c>
      <c r="H315" s="9">
        <v>800</v>
      </c>
      <c r="I315" s="9">
        <v>420</v>
      </c>
    </row>
    <row r="316" spans="1:9" ht="15.75" customHeight="1" x14ac:dyDescent="0.25">
      <c r="A316" s="5">
        <v>46028</v>
      </c>
      <c r="B316" s="6">
        <v>330</v>
      </c>
      <c r="C316" s="6">
        <v>290</v>
      </c>
      <c r="D316" s="6">
        <v>1410</v>
      </c>
      <c r="E316" s="6">
        <v>2501</v>
      </c>
      <c r="F316" s="6">
        <v>2300</v>
      </c>
      <c r="G316" s="6">
        <v>360</v>
      </c>
      <c r="H316" s="6">
        <v>800</v>
      </c>
      <c r="I316" s="6">
        <v>420</v>
      </c>
    </row>
    <row r="317" spans="1:9" ht="15.75" customHeight="1" x14ac:dyDescent="0.25">
      <c r="A317" s="8">
        <v>46030</v>
      </c>
      <c r="B317" s="9">
        <v>330</v>
      </c>
      <c r="C317" s="9">
        <v>290</v>
      </c>
      <c r="D317" s="9">
        <v>1410</v>
      </c>
      <c r="E317" s="9">
        <v>2501</v>
      </c>
      <c r="F317" s="9">
        <v>2299</v>
      </c>
      <c r="G317" s="9">
        <v>360</v>
      </c>
      <c r="H317" s="9">
        <v>800</v>
      </c>
      <c r="I317" s="9">
        <v>420</v>
      </c>
    </row>
    <row r="318" spans="1:9" ht="15.75" customHeight="1" x14ac:dyDescent="0.25">
      <c r="A318" s="5">
        <v>46033</v>
      </c>
      <c r="B318" s="6">
        <v>330</v>
      </c>
      <c r="C318" s="6">
        <v>290</v>
      </c>
      <c r="D318" s="6">
        <v>1410</v>
      </c>
      <c r="E318" s="6">
        <v>2501</v>
      </c>
      <c r="F318" s="6">
        <v>2299</v>
      </c>
      <c r="G318" s="6">
        <v>360</v>
      </c>
      <c r="H318" s="6">
        <v>800</v>
      </c>
      <c r="I318" s="6">
        <v>420</v>
      </c>
    </row>
    <row r="319" spans="1:9" ht="15.75" customHeight="1" x14ac:dyDescent="0.25">
      <c r="A319" s="8">
        <v>46035</v>
      </c>
      <c r="B319" s="9">
        <v>330</v>
      </c>
      <c r="C319" s="9">
        <v>290</v>
      </c>
      <c r="D319" s="9">
        <v>1400</v>
      </c>
      <c r="E319" s="9">
        <v>2501</v>
      </c>
      <c r="F319" s="9">
        <v>2297</v>
      </c>
      <c r="G319" s="9">
        <v>360</v>
      </c>
      <c r="H319" s="9">
        <v>800</v>
      </c>
      <c r="I319" s="9">
        <v>420</v>
      </c>
    </row>
    <row r="320" spans="1:9" ht="15.75" customHeight="1" x14ac:dyDescent="0.25">
      <c r="A320" s="5">
        <v>46037</v>
      </c>
      <c r="B320" s="6">
        <v>331</v>
      </c>
      <c r="C320" s="6">
        <v>290</v>
      </c>
      <c r="D320" s="6">
        <v>1400</v>
      </c>
      <c r="E320" s="6">
        <v>2501</v>
      </c>
      <c r="F320" s="6">
        <v>2297</v>
      </c>
      <c r="G320" s="6">
        <v>360</v>
      </c>
      <c r="H320" s="6">
        <v>800</v>
      </c>
      <c r="I320" s="6">
        <v>420</v>
      </c>
    </row>
    <row r="321" spans="1:9" ht="15.75" customHeight="1" x14ac:dyDescent="0.25">
      <c r="A321" s="8">
        <v>46040</v>
      </c>
      <c r="B321" s="9">
        <v>345</v>
      </c>
      <c r="C321" s="9">
        <v>290</v>
      </c>
      <c r="D321" s="9">
        <v>1400</v>
      </c>
      <c r="E321" s="9">
        <v>2501</v>
      </c>
      <c r="F321" s="9">
        <v>2297</v>
      </c>
      <c r="G321" s="9">
        <v>360</v>
      </c>
      <c r="H321" s="9">
        <v>800</v>
      </c>
      <c r="I321" s="9">
        <v>420</v>
      </c>
    </row>
    <row r="322" spans="1:9" ht="15.75" customHeight="1" x14ac:dyDescent="0.25">
      <c r="A322" s="5">
        <v>46042</v>
      </c>
      <c r="B322" s="6">
        <v>345</v>
      </c>
      <c r="C322" s="6">
        <v>290</v>
      </c>
      <c r="D322" s="6">
        <v>1400</v>
      </c>
      <c r="E322" s="6">
        <v>2501</v>
      </c>
      <c r="F322" s="6">
        <v>2296</v>
      </c>
      <c r="G322" s="6">
        <v>360</v>
      </c>
      <c r="H322" s="6">
        <v>800</v>
      </c>
      <c r="I322" s="6">
        <v>420</v>
      </c>
    </row>
    <row r="323" spans="1:9" ht="15.75" customHeight="1" x14ac:dyDescent="0.25">
      <c r="A323" s="8">
        <v>46044</v>
      </c>
      <c r="B323" s="9">
        <v>345</v>
      </c>
      <c r="C323" s="9">
        <v>290</v>
      </c>
      <c r="D323" s="9">
        <v>1400</v>
      </c>
      <c r="E323" s="9">
        <v>2501</v>
      </c>
      <c r="F323" s="9">
        <v>2297</v>
      </c>
      <c r="G323" s="9">
        <v>360</v>
      </c>
      <c r="H323" s="9">
        <v>800</v>
      </c>
      <c r="I323" s="9">
        <v>420</v>
      </c>
    </row>
    <row r="324" spans="1:9" ht="15.75" customHeight="1" x14ac:dyDescent="0.25">
      <c r="A324" s="5">
        <v>46047</v>
      </c>
      <c r="B324" s="6">
        <v>345</v>
      </c>
      <c r="C324" s="6">
        <v>290</v>
      </c>
      <c r="D324" s="6">
        <v>1400</v>
      </c>
      <c r="E324" s="6">
        <v>2501</v>
      </c>
      <c r="F324" s="6">
        <v>2297</v>
      </c>
      <c r="G324" s="6">
        <v>360</v>
      </c>
      <c r="H324" s="6">
        <v>800</v>
      </c>
      <c r="I324" s="6">
        <v>420</v>
      </c>
    </row>
    <row r="325" spans="1:9" ht="15.75" customHeight="1" x14ac:dyDescent="0.25">
      <c r="A325" s="8">
        <v>46049</v>
      </c>
      <c r="B325" s="9">
        <v>345</v>
      </c>
      <c r="C325" s="9">
        <v>290</v>
      </c>
      <c r="D325" s="9">
        <v>1400</v>
      </c>
      <c r="E325" s="9">
        <v>2501</v>
      </c>
      <c r="F325" s="9">
        <v>2295</v>
      </c>
      <c r="G325" s="9">
        <v>360</v>
      </c>
      <c r="H325" s="9">
        <v>800</v>
      </c>
      <c r="I325" s="9">
        <v>420</v>
      </c>
    </row>
    <row r="326" spans="1:9" ht="15.75" customHeight="1" x14ac:dyDescent="0.25">
      <c r="A326" s="5">
        <v>46051</v>
      </c>
      <c r="B326" s="6">
        <v>345</v>
      </c>
      <c r="C326" s="6">
        <v>290</v>
      </c>
      <c r="D326" s="6">
        <v>1400</v>
      </c>
      <c r="E326" s="6">
        <v>2501</v>
      </c>
      <c r="F326" s="6">
        <v>2295</v>
      </c>
      <c r="G326" s="6">
        <v>360</v>
      </c>
      <c r="H326" s="6">
        <v>800</v>
      </c>
      <c r="I326" s="6">
        <v>420</v>
      </c>
    </row>
    <row r="327" spans="1:9" ht="15.75" customHeight="1" x14ac:dyDescent="0.25">
      <c r="A327" s="8">
        <v>46054</v>
      </c>
      <c r="B327" s="9">
        <v>345</v>
      </c>
      <c r="C327" s="9">
        <v>290</v>
      </c>
      <c r="D327" s="9">
        <v>1400</v>
      </c>
      <c r="E327" s="9">
        <v>2501</v>
      </c>
      <c r="F327" s="9">
        <v>2295</v>
      </c>
      <c r="G327" s="9">
        <v>360</v>
      </c>
      <c r="H327" s="9">
        <v>800</v>
      </c>
      <c r="I327" s="9">
        <v>420</v>
      </c>
    </row>
    <row r="328" spans="1:9" ht="15.75" customHeight="1" x14ac:dyDescent="0.25">
      <c r="A328" s="5">
        <v>46056</v>
      </c>
      <c r="B328" s="6">
        <v>345</v>
      </c>
      <c r="C328" s="6">
        <v>290</v>
      </c>
      <c r="D328" s="6">
        <v>1400</v>
      </c>
      <c r="E328" s="6">
        <v>2501</v>
      </c>
      <c r="F328" s="6">
        <v>2290</v>
      </c>
      <c r="G328" s="6">
        <v>360</v>
      </c>
      <c r="H328" s="6">
        <v>800</v>
      </c>
      <c r="I328" s="6">
        <v>420</v>
      </c>
    </row>
    <row r="329" spans="1:9" ht="15.75" customHeight="1" x14ac:dyDescent="0.25">
      <c r="A329" s="8">
        <v>46058</v>
      </c>
      <c r="B329" s="9">
        <v>345</v>
      </c>
      <c r="C329" s="9">
        <v>290</v>
      </c>
      <c r="D329" s="9">
        <v>1400</v>
      </c>
      <c r="E329" s="9">
        <v>2501</v>
      </c>
      <c r="F329" s="9">
        <v>2289</v>
      </c>
      <c r="G329" s="9">
        <v>360</v>
      </c>
      <c r="H329" s="9">
        <v>800</v>
      </c>
      <c r="I329" s="9">
        <v>420</v>
      </c>
    </row>
    <row r="330" spans="1:9" ht="15.75" customHeight="1" x14ac:dyDescent="0.25">
      <c r="A330" s="5">
        <v>46061</v>
      </c>
      <c r="B330" s="6">
        <v>345</v>
      </c>
      <c r="C330" s="6">
        <v>290</v>
      </c>
      <c r="D330" s="6">
        <v>1400</v>
      </c>
      <c r="E330" s="6">
        <v>2501</v>
      </c>
      <c r="F330" s="6">
        <v>2289</v>
      </c>
      <c r="G330" s="6">
        <v>360</v>
      </c>
      <c r="H330" s="6">
        <v>800</v>
      </c>
      <c r="I330" s="6">
        <v>420</v>
      </c>
    </row>
    <row r="331" spans="1:9" ht="15.75" customHeight="1" x14ac:dyDescent="0.25">
      <c r="A331" s="8">
        <v>46063</v>
      </c>
      <c r="B331" s="9">
        <v>345</v>
      </c>
      <c r="C331" s="9">
        <v>290</v>
      </c>
      <c r="D331" s="9">
        <v>1400</v>
      </c>
      <c r="E331" s="9">
        <v>2501</v>
      </c>
      <c r="F331" s="9">
        <v>2285</v>
      </c>
      <c r="G331" s="9">
        <v>360</v>
      </c>
      <c r="H331" s="9">
        <v>800</v>
      </c>
      <c r="I331" s="9">
        <v>420</v>
      </c>
    </row>
    <row r="332" spans="1:9" ht="15.75" customHeight="1" x14ac:dyDescent="0.25">
      <c r="A332" s="5">
        <v>46065</v>
      </c>
      <c r="B332" s="6">
        <v>345</v>
      </c>
      <c r="C332" s="6">
        <v>290</v>
      </c>
      <c r="D332" s="6">
        <v>1400</v>
      </c>
      <c r="E332" s="6">
        <v>2501</v>
      </c>
      <c r="F332" s="6">
        <v>2269</v>
      </c>
      <c r="G332" s="6">
        <v>360</v>
      </c>
      <c r="H332" s="6">
        <v>800</v>
      </c>
      <c r="I332" s="6">
        <v>420</v>
      </c>
    </row>
    <row r="333" spans="1:9" ht="15.75" customHeight="1" x14ac:dyDescent="0.25">
      <c r="A333" s="8">
        <v>46068</v>
      </c>
      <c r="B333" s="9">
        <v>345</v>
      </c>
      <c r="C333" s="9">
        <v>290</v>
      </c>
      <c r="D333" s="9">
        <v>1400</v>
      </c>
      <c r="E333" s="9">
        <v>2501</v>
      </c>
      <c r="F333" s="9">
        <v>2269</v>
      </c>
      <c r="G333" s="9">
        <v>360</v>
      </c>
      <c r="H333" s="9">
        <v>800</v>
      </c>
      <c r="I333" s="9">
        <v>420</v>
      </c>
    </row>
    <row r="334" spans="1:9" ht="15.75" customHeight="1" x14ac:dyDescent="0.25">
      <c r="A334" s="5">
        <v>46070</v>
      </c>
      <c r="B334" s="6">
        <v>345</v>
      </c>
      <c r="C334" s="6">
        <v>290</v>
      </c>
      <c r="D334" s="6">
        <v>1400</v>
      </c>
      <c r="E334" s="6">
        <v>2502</v>
      </c>
      <c r="F334" s="6">
        <v>2260</v>
      </c>
      <c r="G334" s="6">
        <v>360</v>
      </c>
      <c r="H334" s="6">
        <v>800</v>
      </c>
      <c r="I334" s="6">
        <v>420</v>
      </c>
    </row>
    <row r="335" spans="1:9" ht="15.75" customHeight="1" x14ac:dyDescent="0.25">
      <c r="A335" s="8">
        <v>46072</v>
      </c>
      <c r="B335" s="9">
        <v>345</v>
      </c>
      <c r="C335" s="9">
        <v>290</v>
      </c>
      <c r="D335" s="9">
        <v>1400</v>
      </c>
      <c r="E335" s="9">
        <v>2501</v>
      </c>
      <c r="F335" s="9">
        <v>2250</v>
      </c>
      <c r="G335" s="9">
        <v>360</v>
      </c>
      <c r="H335" s="9">
        <v>800</v>
      </c>
      <c r="I335" s="9">
        <v>420</v>
      </c>
    </row>
    <row r="336" spans="1:9" ht="15.75" customHeight="1" x14ac:dyDescent="0.25">
      <c r="A336" s="5">
        <v>46075</v>
      </c>
      <c r="B336" s="6">
        <v>345</v>
      </c>
      <c r="C336" s="6">
        <v>290</v>
      </c>
      <c r="D336" s="6">
        <v>1400</v>
      </c>
      <c r="E336" s="6">
        <v>2501</v>
      </c>
      <c r="F336" s="6">
        <v>2250</v>
      </c>
      <c r="G336" s="6">
        <v>360</v>
      </c>
      <c r="H336" s="6">
        <v>800</v>
      </c>
      <c r="I336" s="6">
        <v>420</v>
      </c>
    </row>
    <row r="337" spans="1:9" ht="15.75" customHeight="1" x14ac:dyDescent="0.25">
      <c r="A337" s="8">
        <v>46077</v>
      </c>
      <c r="B337" s="9">
        <v>345</v>
      </c>
      <c r="C337" s="9">
        <v>290</v>
      </c>
      <c r="D337" s="9">
        <v>1400</v>
      </c>
      <c r="E337" s="9">
        <v>2501</v>
      </c>
      <c r="F337" s="9">
        <v>2249</v>
      </c>
      <c r="G337" s="9">
        <v>360</v>
      </c>
      <c r="H337" s="9">
        <v>800</v>
      </c>
      <c r="I337" s="9">
        <v>420</v>
      </c>
    </row>
    <row r="338" spans="1:9" ht="15.75" customHeight="1" x14ac:dyDescent="0.25">
      <c r="A338" s="5">
        <v>46079</v>
      </c>
      <c r="B338" s="6">
        <v>345</v>
      </c>
      <c r="C338" s="6">
        <v>290</v>
      </c>
      <c r="D338" s="6">
        <v>1400</v>
      </c>
      <c r="E338" s="6">
        <v>2502</v>
      </c>
      <c r="F338" s="6">
        <v>2249</v>
      </c>
      <c r="G338" s="6">
        <v>360</v>
      </c>
      <c r="H338" s="6">
        <v>800</v>
      </c>
      <c r="I338" s="6">
        <v>420</v>
      </c>
    </row>
    <row r="339" spans="1:9" ht="15.75" customHeight="1" x14ac:dyDescent="0.25">
      <c r="A339" s="8">
        <v>46082</v>
      </c>
      <c r="B339" s="9">
        <v>345</v>
      </c>
      <c r="C339" s="9">
        <v>290</v>
      </c>
      <c r="D339" s="9">
        <v>1400</v>
      </c>
      <c r="E339" s="9">
        <v>2502</v>
      </c>
      <c r="F339" s="9">
        <v>2247</v>
      </c>
      <c r="G339" s="9">
        <v>360</v>
      </c>
      <c r="H339" s="9">
        <v>800</v>
      </c>
      <c r="I339" s="9">
        <v>420</v>
      </c>
    </row>
    <row r="340" spans="1:9" ht="15.75" customHeight="1" x14ac:dyDescent="0.25">
      <c r="A340" s="5">
        <v>46084</v>
      </c>
      <c r="B340" s="6">
        <v>345</v>
      </c>
      <c r="C340" s="6">
        <v>290</v>
      </c>
      <c r="D340" s="6">
        <v>1400</v>
      </c>
      <c r="E340" s="6">
        <v>2502</v>
      </c>
      <c r="F340" s="6">
        <v>2247</v>
      </c>
      <c r="G340" s="6">
        <v>360</v>
      </c>
      <c r="H340" s="6">
        <v>800</v>
      </c>
      <c r="I340" s="6">
        <v>420</v>
      </c>
    </row>
    <row r="341" spans="1:9" ht="15.75" customHeight="1" x14ac:dyDescent="0.25">
      <c r="A341" s="8">
        <v>46086</v>
      </c>
      <c r="B341" s="9">
        <v>345</v>
      </c>
      <c r="C341" s="9">
        <v>290</v>
      </c>
      <c r="D341" s="9">
        <v>1398</v>
      </c>
      <c r="E341" s="9">
        <v>2502</v>
      </c>
      <c r="F341" s="9">
        <v>2240</v>
      </c>
      <c r="G341" s="9">
        <v>360</v>
      </c>
      <c r="H341" s="9">
        <v>800</v>
      </c>
      <c r="I341" s="9">
        <v>420</v>
      </c>
    </row>
    <row r="342" spans="1:9" ht="15.75" customHeight="1" x14ac:dyDescent="0.25">
      <c r="A342" s="5">
        <v>46089</v>
      </c>
      <c r="B342" s="6">
        <v>345</v>
      </c>
      <c r="C342" s="6">
        <v>290</v>
      </c>
      <c r="D342" s="6">
        <v>1399</v>
      </c>
      <c r="E342" s="6">
        <v>2502</v>
      </c>
      <c r="F342" s="6">
        <v>2240</v>
      </c>
      <c r="G342" s="6">
        <v>360</v>
      </c>
      <c r="H342" s="6">
        <v>800</v>
      </c>
      <c r="I342" s="6">
        <v>420</v>
      </c>
    </row>
    <row r="343" spans="1:9" ht="15.75" customHeight="1" x14ac:dyDescent="0.25">
      <c r="A343" s="8">
        <v>46091</v>
      </c>
      <c r="B343" s="9">
        <v>345</v>
      </c>
      <c r="C343" s="9">
        <v>290</v>
      </c>
      <c r="D343" s="9">
        <v>1399</v>
      </c>
      <c r="E343" s="9">
        <v>2502</v>
      </c>
      <c r="F343" s="9">
        <v>2240</v>
      </c>
      <c r="G343" s="9">
        <v>360</v>
      </c>
      <c r="H343" s="9">
        <v>800</v>
      </c>
      <c r="I343" s="9">
        <v>420</v>
      </c>
    </row>
    <row r="344" spans="1:9" ht="15.75" customHeight="1" x14ac:dyDescent="0.25">
      <c r="A344" s="5">
        <v>46093</v>
      </c>
      <c r="B344" s="6">
        <v>345</v>
      </c>
      <c r="C344" s="6">
        <v>290</v>
      </c>
      <c r="D344" s="6">
        <v>1399</v>
      </c>
      <c r="E344" s="6">
        <v>2502</v>
      </c>
      <c r="F344" s="6">
        <v>2240</v>
      </c>
      <c r="G344" s="6">
        <v>360</v>
      </c>
      <c r="H344" s="6">
        <v>800</v>
      </c>
      <c r="I344" s="6">
        <v>420</v>
      </c>
    </row>
    <row r="345" spans="1:9" ht="15.75" customHeight="1" x14ac:dyDescent="0.25">
      <c r="A345" s="8">
        <v>46096</v>
      </c>
      <c r="B345" s="9">
        <v>345</v>
      </c>
      <c r="C345" s="9">
        <v>290</v>
      </c>
      <c r="D345" s="9">
        <v>1399</v>
      </c>
      <c r="E345" s="9">
        <v>2502</v>
      </c>
      <c r="F345" s="9">
        <v>2238</v>
      </c>
      <c r="G345" s="9">
        <v>360</v>
      </c>
      <c r="H345" s="9">
        <v>800</v>
      </c>
      <c r="I345" s="9">
        <v>420</v>
      </c>
    </row>
    <row r="346" spans="1:9" ht="15.75" customHeight="1" x14ac:dyDescent="0.25">
      <c r="A346" s="5">
        <v>46098</v>
      </c>
      <c r="B346" s="6">
        <v>345</v>
      </c>
      <c r="C346" s="6">
        <v>290</v>
      </c>
      <c r="D346" s="6">
        <v>1399</v>
      </c>
      <c r="E346" s="6">
        <v>2502</v>
      </c>
      <c r="F346" s="6">
        <v>2235</v>
      </c>
      <c r="G346" s="6">
        <v>360</v>
      </c>
      <c r="H346" s="6">
        <v>800</v>
      </c>
      <c r="I346" s="6">
        <v>420</v>
      </c>
    </row>
    <row r="347" spans="1:9" ht="15.75" customHeight="1" x14ac:dyDescent="0.25">
      <c r="A347" s="8">
        <v>46100</v>
      </c>
      <c r="B347" s="9">
        <v>345</v>
      </c>
      <c r="C347" s="9">
        <v>290</v>
      </c>
      <c r="D347" s="9">
        <v>1399</v>
      </c>
      <c r="E347" s="9">
        <v>2502</v>
      </c>
      <c r="F347" s="9">
        <v>2235</v>
      </c>
      <c r="G347" s="9">
        <v>360</v>
      </c>
      <c r="H347" s="9">
        <v>800</v>
      </c>
      <c r="I347" s="9">
        <v>420</v>
      </c>
    </row>
    <row r="348" spans="1:9" ht="15.75" customHeight="1" x14ac:dyDescent="0.25">
      <c r="A348" s="5">
        <v>46104</v>
      </c>
      <c r="B348" s="6">
        <v>345</v>
      </c>
      <c r="C348" s="6">
        <v>290</v>
      </c>
      <c r="D348" s="6">
        <v>1399</v>
      </c>
      <c r="E348" s="6">
        <v>2502</v>
      </c>
      <c r="F348" s="6">
        <v>2230</v>
      </c>
      <c r="G348" s="6">
        <v>360</v>
      </c>
      <c r="H348" s="6">
        <v>800</v>
      </c>
      <c r="I348" s="6">
        <v>420</v>
      </c>
    </row>
    <row r="349" spans="1:9" ht="15.75" customHeight="1" x14ac:dyDescent="0.25">
      <c r="A349" s="8">
        <v>46105</v>
      </c>
      <c r="B349" s="9">
        <v>345</v>
      </c>
      <c r="C349" s="9">
        <v>290</v>
      </c>
      <c r="D349" s="9">
        <v>1399</v>
      </c>
      <c r="E349" s="9">
        <v>2502</v>
      </c>
      <c r="F349" s="9">
        <v>2229</v>
      </c>
      <c r="G349" s="9">
        <v>360</v>
      </c>
      <c r="H349" s="9">
        <v>800</v>
      </c>
      <c r="I349" s="9">
        <v>420</v>
      </c>
    </row>
    <row r="350" spans="1:9" ht="15.75" customHeight="1" x14ac:dyDescent="0.25">
      <c r="A350" s="5">
        <v>46107</v>
      </c>
      <c r="B350" s="6">
        <v>345</v>
      </c>
      <c r="C350" s="6">
        <v>290</v>
      </c>
      <c r="D350" s="6">
        <v>1399</v>
      </c>
      <c r="E350" s="6">
        <v>2503</v>
      </c>
      <c r="F350" s="6">
        <v>2218</v>
      </c>
      <c r="G350" s="6">
        <v>360</v>
      </c>
      <c r="H350" s="6">
        <v>800</v>
      </c>
      <c r="I350" s="6">
        <v>420</v>
      </c>
    </row>
    <row r="351" spans="1:9" ht="15.75" customHeight="1" x14ac:dyDescent="0.25">
      <c r="A351" s="8">
        <v>46110</v>
      </c>
      <c r="B351" s="9">
        <v>345</v>
      </c>
      <c r="C351" s="9">
        <v>290</v>
      </c>
      <c r="D351" s="9">
        <v>1399</v>
      </c>
      <c r="E351" s="9">
        <v>2503</v>
      </c>
      <c r="F351" s="9">
        <v>2210</v>
      </c>
      <c r="G351" s="9">
        <v>360</v>
      </c>
      <c r="H351" s="9">
        <v>800</v>
      </c>
      <c r="I351" s="9">
        <v>420</v>
      </c>
    </row>
    <row r="352" spans="1:9" ht="15.75" customHeight="1" x14ac:dyDescent="0.25">
      <c r="A352" s="5">
        <v>46112</v>
      </c>
      <c r="B352" s="6">
        <v>345</v>
      </c>
      <c r="C352" s="6">
        <v>290</v>
      </c>
      <c r="D352" s="6">
        <v>1400</v>
      </c>
      <c r="E352" s="6">
        <v>2503</v>
      </c>
      <c r="F352" s="6">
        <v>2200</v>
      </c>
      <c r="G352" s="6">
        <v>360</v>
      </c>
      <c r="H352" s="6">
        <v>800</v>
      </c>
      <c r="I352" s="6">
        <v>420</v>
      </c>
    </row>
    <row r="353" spans="1:9" ht="15.75" customHeight="1" x14ac:dyDescent="0.25">
      <c r="A353" s="8">
        <v>46114</v>
      </c>
      <c r="B353" s="9">
        <v>345</v>
      </c>
      <c r="C353" s="9">
        <v>290</v>
      </c>
      <c r="D353" s="9">
        <v>1400</v>
      </c>
      <c r="E353" s="9">
        <v>2503</v>
      </c>
      <c r="F353" s="9">
        <v>2148</v>
      </c>
      <c r="G353" s="9">
        <v>360</v>
      </c>
      <c r="H353" s="9">
        <v>780</v>
      </c>
      <c r="I353" s="9">
        <v>420</v>
      </c>
    </row>
    <row r="354" spans="1:9" ht="15.75" customHeight="1" x14ac:dyDescent="0.25">
      <c r="A354" s="5">
        <v>46117</v>
      </c>
      <c r="B354" s="6">
        <v>345</v>
      </c>
      <c r="C354" s="6">
        <v>290</v>
      </c>
      <c r="D354" s="6">
        <v>1400</v>
      </c>
      <c r="E354" s="6">
        <v>2503</v>
      </c>
      <c r="F354" s="6">
        <v>2195</v>
      </c>
      <c r="G354" s="6">
        <v>360</v>
      </c>
      <c r="H354" s="6">
        <v>780</v>
      </c>
      <c r="I354" s="6">
        <v>420</v>
      </c>
    </row>
    <row r="355" spans="1:9" ht="15.75" customHeight="1" x14ac:dyDescent="0.25">
      <c r="A355" s="8">
        <v>46119</v>
      </c>
      <c r="B355" s="9">
        <v>345</v>
      </c>
      <c r="C355" s="9">
        <v>290</v>
      </c>
      <c r="D355" s="9">
        <v>1399</v>
      </c>
      <c r="E355" s="9">
        <v>2503</v>
      </c>
      <c r="F355" s="9">
        <v>2090</v>
      </c>
      <c r="G355" s="9">
        <v>360</v>
      </c>
      <c r="H355" s="9">
        <v>780</v>
      </c>
      <c r="I355" s="9">
        <v>420</v>
      </c>
    </row>
    <row r="356" spans="1:9" ht="15.75" customHeight="1" x14ac:dyDescent="0.25">
      <c r="A356" s="5">
        <v>46121</v>
      </c>
      <c r="B356" s="6">
        <v>345</v>
      </c>
      <c r="C356" s="6">
        <v>290</v>
      </c>
      <c r="D356" s="6">
        <v>1399</v>
      </c>
      <c r="E356" s="6">
        <v>2503</v>
      </c>
      <c r="F356" s="6">
        <v>2050</v>
      </c>
      <c r="G356" s="6">
        <v>360</v>
      </c>
      <c r="H356" s="6">
        <v>780</v>
      </c>
      <c r="I356" s="6">
        <v>420</v>
      </c>
    </row>
    <row r="357" spans="1:9" ht="15.75" customHeight="1" x14ac:dyDescent="0.25">
      <c r="A357" s="8">
        <v>46124</v>
      </c>
      <c r="B357" s="9">
        <v>345</v>
      </c>
      <c r="C357" s="9">
        <v>290</v>
      </c>
      <c r="D357" s="9">
        <v>1399</v>
      </c>
      <c r="E357" s="9">
        <v>2503</v>
      </c>
      <c r="F357" s="9">
        <v>2090</v>
      </c>
      <c r="G357" s="9">
        <v>360</v>
      </c>
      <c r="H357" s="9">
        <v>780</v>
      </c>
      <c r="I357" s="9">
        <v>420</v>
      </c>
    </row>
    <row r="358" spans="1:9" ht="15.75" customHeight="1" x14ac:dyDescent="0.25">
      <c r="A358" s="5">
        <v>46126</v>
      </c>
      <c r="B358" s="6">
        <v>345</v>
      </c>
      <c r="C358" s="6">
        <v>290</v>
      </c>
      <c r="D358" s="6">
        <v>1398</v>
      </c>
      <c r="E358" s="6">
        <v>2504</v>
      </c>
      <c r="F358" s="6">
        <v>2050</v>
      </c>
      <c r="G358" s="6">
        <v>360</v>
      </c>
      <c r="H358" s="6">
        <v>780</v>
      </c>
      <c r="I358" s="6">
        <v>420</v>
      </c>
    </row>
    <row r="359" spans="1:9" ht="15.75" customHeight="1" x14ac:dyDescent="0.25">
      <c r="A359" s="8">
        <v>46128</v>
      </c>
      <c r="B359" s="9">
        <v>345</v>
      </c>
      <c r="C359" s="9">
        <v>290</v>
      </c>
      <c r="D359" s="9">
        <v>1395</v>
      </c>
      <c r="E359" s="9">
        <v>2504</v>
      </c>
      <c r="F359" s="9">
        <v>2044</v>
      </c>
      <c r="G359" s="9">
        <v>360</v>
      </c>
      <c r="H359" s="9">
        <v>780</v>
      </c>
      <c r="I359" s="9">
        <v>420</v>
      </c>
    </row>
    <row r="360" spans="1:9" ht="15.75" customHeight="1" x14ac:dyDescent="0.25">
      <c r="A360" s="5">
        <v>46131</v>
      </c>
      <c r="B360" s="6">
        <v>345</v>
      </c>
      <c r="C360" s="6">
        <v>290</v>
      </c>
      <c r="D360" s="6">
        <v>1398</v>
      </c>
      <c r="E360" s="6">
        <v>2504</v>
      </c>
      <c r="F360" s="6">
        <v>2050</v>
      </c>
      <c r="G360" s="6">
        <v>360</v>
      </c>
      <c r="H360" s="6">
        <v>780</v>
      </c>
      <c r="I360" s="6">
        <v>420</v>
      </c>
    </row>
    <row r="361" spans="1:9" ht="15.75" customHeight="1" x14ac:dyDescent="0.25">
      <c r="A361" s="8">
        <v>46133</v>
      </c>
      <c r="B361" s="9">
        <v>345</v>
      </c>
      <c r="C361" s="9">
        <v>290</v>
      </c>
      <c r="D361" s="9">
        <v>1398</v>
      </c>
      <c r="E361" s="9">
        <v>2504</v>
      </c>
      <c r="F361" s="9">
        <v>2080</v>
      </c>
      <c r="G361" s="9">
        <v>360</v>
      </c>
      <c r="H361" s="9">
        <v>780</v>
      </c>
      <c r="I361" s="9">
        <v>420</v>
      </c>
    </row>
    <row r="362" spans="1:9" ht="15.75" customHeight="1" x14ac:dyDescent="0.25">
      <c r="A362" s="5">
        <v>46135</v>
      </c>
      <c r="B362" s="6">
        <v>345</v>
      </c>
      <c r="C362" s="6">
        <v>290</v>
      </c>
      <c r="D362" s="6">
        <v>1398</v>
      </c>
      <c r="E362" s="6">
        <v>2504</v>
      </c>
      <c r="F362" s="6">
        <v>2079</v>
      </c>
      <c r="G362" s="6">
        <v>360</v>
      </c>
      <c r="H362" s="6">
        <v>780</v>
      </c>
      <c r="I362" s="6">
        <v>420</v>
      </c>
    </row>
    <row r="363" spans="1:9" ht="15.75" customHeight="1" x14ac:dyDescent="0.25">
      <c r="A363" s="8">
        <v>46138</v>
      </c>
      <c r="B363" s="9">
        <v>345</v>
      </c>
      <c r="C363" s="9">
        <v>290</v>
      </c>
      <c r="D363" s="9">
        <v>1398</v>
      </c>
      <c r="E363" s="9">
        <v>2504</v>
      </c>
      <c r="F363" s="9">
        <v>2090</v>
      </c>
      <c r="G363" s="9">
        <v>360</v>
      </c>
      <c r="H363" s="9">
        <v>780</v>
      </c>
      <c r="I363" s="9">
        <v>420</v>
      </c>
    </row>
    <row r="364" spans="1:9" ht="15.75" customHeight="1" x14ac:dyDescent="0.25">
      <c r="A364" s="5">
        <v>46140</v>
      </c>
      <c r="B364" s="6">
        <v>345</v>
      </c>
      <c r="C364" s="6">
        <v>290</v>
      </c>
      <c r="D364" s="6">
        <v>1398</v>
      </c>
      <c r="E364" s="6">
        <v>2504</v>
      </c>
      <c r="F364" s="6">
        <v>2090</v>
      </c>
      <c r="G364" s="6">
        <v>360</v>
      </c>
      <c r="H364" s="6">
        <v>780</v>
      </c>
      <c r="I364" s="6">
        <v>462</v>
      </c>
    </row>
    <row r="365" spans="1:9" ht="15.75" customHeight="1" x14ac:dyDescent="0.25">
      <c r="A365" s="8">
        <v>46142</v>
      </c>
      <c r="B365" s="9">
        <v>345</v>
      </c>
      <c r="C365" s="9">
        <v>290</v>
      </c>
      <c r="D365" s="9">
        <v>1398</v>
      </c>
      <c r="E365" s="9">
        <v>2504</v>
      </c>
      <c r="F365" s="9">
        <v>2090</v>
      </c>
      <c r="G365" s="9">
        <v>360</v>
      </c>
      <c r="H365" s="9">
        <v>780</v>
      </c>
      <c r="I365" s="9">
        <v>462</v>
      </c>
    </row>
    <row r="366" spans="1:9" ht="15.75" customHeight="1" x14ac:dyDescent="0.25">
      <c r="A366" s="5">
        <v>46145</v>
      </c>
      <c r="B366" s="6">
        <v>345</v>
      </c>
      <c r="C366" s="6">
        <v>290</v>
      </c>
      <c r="D366" s="6">
        <v>1399</v>
      </c>
      <c r="E366" s="6">
        <v>2504</v>
      </c>
      <c r="F366" s="6">
        <v>2090</v>
      </c>
      <c r="G366" s="6">
        <v>360</v>
      </c>
      <c r="H366" s="6">
        <v>780</v>
      </c>
      <c r="I366" s="6">
        <v>462</v>
      </c>
    </row>
    <row r="367" spans="1:9" ht="15.75" customHeight="1" x14ac:dyDescent="0.25">
      <c r="A367" s="8">
        <v>46147</v>
      </c>
      <c r="B367" s="9">
        <v>344</v>
      </c>
      <c r="C367" s="9">
        <v>290</v>
      </c>
      <c r="D367" s="9">
        <v>1370</v>
      </c>
      <c r="E367" s="9">
        <v>2504</v>
      </c>
      <c r="F367" s="9">
        <v>2090</v>
      </c>
      <c r="G367" s="9">
        <v>360</v>
      </c>
      <c r="H367" s="9">
        <v>850</v>
      </c>
      <c r="I367" s="9">
        <v>445</v>
      </c>
    </row>
    <row r="368" spans="1:9" ht="15.75" customHeight="1" x14ac:dyDescent="0.25">
      <c r="A368" s="5">
        <v>46149</v>
      </c>
      <c r="B368" s="6">
        <v>344</v>
      </c>
      <c r="C368" s="6">
        <v>290</v>
      </c>
      <c r="D368" s="6">
        <v>1398</v>
      </c>
      <c r="E368" s="6">
        <v>2506</v>
      </c>
      <c r="F368" s="6">
        <v>2090</v>
      </c>
      <c r="G368" s="6">
        <v>360</v>
      </c>
      <c r="H368" s="6">
        <v>850</v>
      </c>
      <c r="I368" s="6">
        <v>445</v>
      </c>
    </row>
    <row r="369" spans="1:9" ht="15.75" customHeight="1" x14ac:dyDescent="0.25">
      <c r="A369" s="8">
        <v>46152</v>
      </c>
      <c r="B369" s="9">
        <v>345</v>
      </c>
      <c r="C369" s="9">
        <v>290</v>
      </c>
      <c r="D369" s="9">
        <v>1398</v>
      </c>
      <c r="E369" s="9">
        <v>2506</v>
      </c>
      <c r="F369" s="9">
        <v>2090</v>
      </c>
      <c r="G369" s="9">
        <v>360</v>
      </c>
      <c r="H369" s="9">
        <v>850</v>
      </c>
      <c r="I369" s="9">
        <v>445</v>
      </c>
    </row>
    <row r="370" spans="1:9" ht="15.75" customHeight="1" x14ac:dyDescent="0.25">
      <c r="A370" s="5">
        <v>46154</v>
      </c>
      <c r="B370" s="6">
        <v>345</v>
      </c>
      <c r="C370" s="6">
        <v>290</v>
      </c>
      <c r="D370" s="6">
        <v>1398</v>
      </c>
      <c r="E370" s="6">
        <v>2506</v>
      </c>
      <c r="F370" s="6">
        <v>2090</v>
      </c>
      <c r="G370" s="6">
        <v>360</v>
      </c>
      <c r="H370" s="6">
        <v>850</v>
      </c>
      <c r="I370" s="6">
        <v>445</v>
      </c>
    </row>
    <row r="371" spans="1:9" ht="15.75" customHeight="1" x14ac:dyDescent="0.25">
      <c r="A371" s="8">
        <v>46156</v>
      </c>
      <c r="B371" s="9">
        <v>345</v>
      </c>
      <c r="C371" s="9">
        <v>290</v>
      </c>
      <c r="D371" s="9">
        <v>1399</v>
      </c>
      <c r="E371" s="9">
        <v>2506</v>
      </c>
      <c r="F371" s="9">
        <v>2090</v>
      </c>
      <c r="G371" s="9">
        <v>360</v>
      </c>
      <c r="H371" s="9">
        <v>850</v>
      </c>
      <c r="I371" s="9">
        <v>445</v>
      </c>
    </row>
    <row r="372" spans="1:9" ht="15.75" customHeight="1" x14ac:dyDescent="0.25">
      <c r="A372" s="5">
        <v>46159</v>
      </c>
      <c r="B372" s="6">
        <v>345</v>
      </c>
      <c r="C372" s="6">
        <v>290</v>
      </c>
      <c r="D372" s="6">
        <v>1399</v>
      </c>
      <c r="E372" s="6">
        <v>2506</v>
      </c>
      <c r="F372" s="6">
        <v>2090</v>
      </c>
      <c r="G372" s="6">
        <v>360</v>
      </c>
      <c r="H372" s="6">
        <v>850</v>
      </c>
      <c r="I372" s="6">
        <v>445</v>
      </c>
    </row>
    <row r="373" spans="1:9" ht="15.75" customHeight="1" x14ac:dyDescent="0.25">
      <c r="A373" s="8">
        <v>46161</v>
      </c>
      <c r="B373" s="9">
        <v>345</v>
      </c>
      <c r="C373" s="9">
        <v>290</v>
      </c>
      <c r="D373" s="9">
        <v>1397</v>
      </c>
      <c r="E373" s="9">
        <v>2506</v>
      </c>
      <c r="F373" s="9">
        <v>2069</v>
      </c>
      <c r="G373" s="9">
        <v>360</v>
      </c>
      <c r="H373" s="9">
        <v>780</v>
      </c>
      <c r="I373" s="9">
        <v>445</v>
      </c>
    </row>
    <row r="374" spans="1:9" ht="15.75" customHeight="1" x14ac:dyDescent="0.25">
      <c r="A374" s="5">
        <v>46163</v>
      </c>
      <c r="B374" s="6">
        <v>344</v>
      </c>
      <c r="C374" s="6">
        <v>290</v>
      </c>
      <c r="D374" s="6">
        <v>1397</v>
      </c>
      <c r="E374" s="6">
        <v>2506</v>
      </c>
      <c r="F374" s="6">
        <v>2069</v>
      </c>
      <c r="G374" s="6">
        <v>360</v>
      </c>
      <c r="H374" s="6">
        <v>780</v>
      </c>
      <c r="I374" s="6">
        <v>445</v>
      </c>
    </row>
    <row r="375" spans="1:9" ht="15.75" customHeight="1" x14ac:dyDescent="0.25">
      <c r="A375" s="8">
        <v>46166</v>
      </c>
      <c r="B375" s="9">
        <v>344</v>
      </c>
      <c r="C375" s="9">
        <v>290</v>
      </c>
      <c r="D375" s="9">
        <v>1397</v>
      </c>
      <c r="E375" s="9">
        <v>2506</v>
      </c>
      <c r="F375" s="9">
        <v>2070</v>
      </c>
      <c r="G375" s="9">
        <v>360</v>
      </c>
      <c r="H375" s="9">
        <v>780</v>
      </c>
      <c r="I375" s="9">
        <v>445</v>
      </c>
    </row>
    <row r="376" spans="1:9" ht="15.75" customHeight="1" x14ac:dyDescent="0.25">
      <c r="A376" s="5">
        <v>46168</v>
      </c>
      <c r="B376" s="6">
        <v>344</v>
      </c>
      <c r="C376" s="6">
        <v>290</v>
      </c>
      <c r="D376" s="6">
        <v>1398</v>
      </c>
      <c r="E376" s="6">
        <v>2510</v>
      </c>
      <c r="F376" s="6">
        <v>2070</v>
      </c>
      <c r="G376" s="6">
        <v>360</v>
      </c>
      <c r="H376" s="6">
        <v>780</v>
      </c>
      <c r="I376" s="6">
        <v>445</v>
      </c>
    </row>
    <row r="377" spans="1:9" ht="15.75" customHeight="1" x14ac:dyDescent="0.25">
      <c r="A377" s="8">
        <v>46173</v>
      </c>
      <c r="B377" s="9">
        <v>344</v>
      </c>
      <c r="C377" s="9">
        <v>290</v>
      </c>
      <c r="D377" s="9">
        <v>1398</v>
      </c>
      <c r="E377" s="9">
        <v>2510</v>
      </c>
      <c r="F377" s="9">
        <v>2068</v>
      </c>
      <c r="G377" s="9">
        <v>360</v>
      </c>
      <c r="H377" s="9">
        <v>780</v>
      </c>
      <c r="I377" s="9">
        <v>445</v>
      </c>
    </row>
    <row r="378" spans="1:9" ht="15.75" customHeight="1" x14ac:dyDescent="0.25">
      <c r="A378" s="5">
        <v>46175</v>
      </c>
      <c r="B378" s="6">
        <v>344</v>
      </c>
      <c r="C378" s="6">
        <v>290</v>
      </c>
      <c r="D378" s="6">
        <v>1398</v>
      </c>
      <c r="E378" s="6">
        <v>2510</v>
      </c>
      <c r="F378" s="6">
        <v>2069</v>
      </c>
      <c r="G378" s="6">
        <v>360</v>
      </c>
      <c r="H378" s="6">
        <v>780</v>
      </c>
      <c r="I378" s="6">
        <v>445</v>
      </c>
    </row>
    <row r="379" spans="1:9" ht="15.75" customHeight="1" x14ac:dyDescent="0.25">
      <c r="A379" s="8">
        <v>46177</v>
      </c>
      <c r="B379" s="9">
        <v>344</v>
      </c>
      <c r="C379" s="9">
        <v>290</v>
      </c>
      <c r="D379" s="9">
        <v>1398</v>
      </c>
      <c r="E379" s="9">
        <v>2510</v>
      </c>
      <c r="F379" s="9">
        <v>2067</v>
      </c>
      <c r="G379" s="9">
        <v>360</v>
      </c>
      <c r="H379" s="9">
        <v>780</v>
      </c>
      <c r="I379" s="9">
        <v>445</v>
      </c>
    </row>
    <row r="380" spans="1:9" ht="15.75" customHeight="1" x14ac:dyDescent="0.25">
      <c r="A380" s="5">
        <v>46180</v>
      </c>
      <c r="B380" s="6">
        <v>344</v>
      </c>
      <c r="C380" s="6">
        <v>290</v>
      </c>
      <c r="D380" s="6">
        <v>1397</v>
      </c>
      <c r="E380" s="6">
        <v>2510</v>
      </c>
      <c r="F380" s="6">
        <v>2067</v>
      </c>
      <c r="G380" s="6">
        <v>360</v>
      </c>
      <c r="H380" s="6">
        <v>780</v>
      </c>
      <c r="I380" s="6">
        <v>445</v>
      </c>
    </row>
    <row r="381" spans="1:9" ht="15.75" customHeight="1" x14ac:dyDescent="0.25">
      <c r="A381" s="8">
        <v>46182</v>
      </c>
      <c r="B381" s="9">
        <v>344</v>
      </c>
      <c r="C381" s="9">
        <v>290</v>
      </c>
      <c r="D381" s="9">
        <v>1397</v>
      </c>
      <c r="E381" s="9">
        <v>2510</v>
      </c>
      <c r="F381" s="9">
        <v>2067</v>
      </c>
      <c r="G381" s="9">
        <v>360</v>
      </c>
      <c r="H381" s="9">
        <v>780</v>
      </c>
      <c r="I381" s="9">
        <v>445</v>
      </c>
    </row>
    <row r="382" spans="1:9" ht="15.75" customHeight="1" x14ac:dyDescent="0.25">
      <c r="A382" s="5">
        <v>46184</v>
      </c>
      <c r="B382" s="6">
        <v>345</v>
      </c>
      <c r="C382" s="6">
        <v>290</v>
      </c>
      <c r="D382" s="6">
        <v>1395</v>
      </c>
      <c r="E382" s="6">
        <v>2510</v>
      </c>
      <c r="F382" s="6">
        <v>2069</v>
      </c>
      <c r="G382" s="6">
        <v>360</v>
      </c>
      <c r="H382" s="6">
        <v>780</v>
      </c>
      <c r="I382" s="6">
        <v>445</v>
      </c>
    </row>
    <row r="383" spans="1:9" ht="15.75" customHeight="1" x14ac:dyDescent="0.25">
      <c r="A383" s="8">
        <v>46187</v>
      </c>
      <c r="B383" s="9">
        <v>345</v>
      </c>
      <c r="C383" s="9">
        <v>290</v>
      </c>
      <c r="D383" s="9">
        <v>1397</v>
      </c>
      <c r="E383" s="9">
        <v>2510</v>
      </c>
      <c r="F383" s="9">
        <v>2090</v>
      </c>
      <c r="G383" s="9">
        <v>360</v>
      </c>
      <c r="H383" s="9">
        <v>780</v>
      </c>
      <c r="I383" s="9">
        <v>445</v>
      </c>
    </row>
    <row r="384" spans="1:9" ht="15.75" customHeight="1" x14ac:dyDescent="0.25">
      <c r="A384" s="5">
        <v>46190</v>
      </c>
      <c r="B384" s="6">
        <v>345</v>
      </c>
      <c r="C384" s="6">
        <v>290</v>
      </c>
      <c r="D384" s="6">
        <v>1398</v>
      </c>
      <c r="E384" s="6">
        <v>2510</v>
      </c>
      <c r="F384" s="6">
        <v>2194</v>
      </c>
      <c r="G384" s="6">
        <v>360</v>
      </c>
      <c r="H384" s="6">
        <v>780</v>
      </c>
      <c r="I384" s="6">
        <v>445</v>
      </c>
    </row>
    <row r="385" spans="1:9" ht="15.75" customHeight="1" x14ac:dyDescent="0.25">
      <c r="A385" s="8">
        <v>46191</v>
      </c>
      <c r="B385" s="9">
        <v>344</v>
      </c>
      <c r="C385" s="9">
        <v>290</v>
      </c>
      <c r="D385" s="9">
        <v>1398</v>
      </c>
      <c r="E385" s="9">
        <v>2510</v>
      </c>
      <c r="F385" s="9">
        <v>2300</v>
      </c>
      <c r="G385" s="9">
        <v>360</v>
      </c>
      <c r="H385" s="9">
        <v>780</v>
      </c>
      <c r="I385" s="9">
        <v>445</v>
      </c>
    </row>
    <row r="386" spans="1:9" ht="15.75" customHeight="1" x14ac:dyDescent="0.25">
      <c r="A386" s="5">
        <v>46194</v>
      </c>
      <c r="B386" s="6">
        <v>344</v>
      </c>
      <c r="C386" s="6">
        <v>290</v>
      </c>
      <c r="D386" s="6">
        <v>1400</v>
      </c>
      <c r="E386" s="6">
        <v>2510</v>
      </c>
      <c r="F386" s="6">
        <v>2300</v>
      </c>
      <c r="G386" s="6">
        <v>360</v>
      </c>
      <c r="H386" s="6">
        <v>780</v>
      </c>
      <c r="I386" s="6">
        <v>445</v>
      </c>
    </row>
    <row r="387" spans="1:9" ht="15.75" customHeight="1" x14ac:dyDescent="0.25">
      <c r="A387" s="8">
        <v>46196</v>
      </c>
      <c r="B387" s="9">
        <v>344</v>
      </c>
      <c r="C387" s="9">
        <v>290</v>
      </c>
      <c r="D387" s="9">
        <v>1400</v>
      </c>
      <c r="E387" s="9">
        <v>2510</v>
      </c>
      <c r="F387" s="9">
        <v>2300</v>
      </c>
      <c r="G387" s="9">
        <v>360</v>
      </c>
      <c r="H387" s="9">
        <v>780</v>
      </c>
      <c r="I387" s="9">
        <v>445</v>
      </c>
    </row>
    <row r="388" spans="1:9" ht="15.75" customHeight="1" x14ac:dyDescent="0.25">
      <c r="A388" s="5">
        <v>46201</v>
      </c>
      <c r="B388" s="6">
        <v>344</v>
      </c>
      <c r="C388" s="6">
        <v>290</v>
      </c>
      <c r="D388" s="6">
        <v>1400</v>
      </c>
      <c r="E388" s="6">
        <v>2510</v>
      </c>
      <c r="F388" s="6">
        <v>2300</v>
      </c>
      <c r="G388" s="6">
        <v>360</v>
      </c>
      <c r="H388" s="6">
        <v>780</v>
      </c>
      <c r="I388" s="6">
        <v>445</v>
      </c>
    </row>
    <row r="389" spans="1:9" ht="15.75" customHeight="1" x14ac:dyDescent="0.25">
      <c r="A389" s="8">
        <v>46203</v>
      </c>
      <c r="B389" s="9">
        <v>344</v>
      </c>
      <c r="C389" s="9">
        <v>290</v>
      </c>
      <c r="D389" s="9">
        <v>1400</v>
      </c>
      <c r="E389" s="9">
        <v>2510</v>
      </c>
      <c r="F389" s="9">
        <v>2300</v>
      </c>
      <c r="G389" s="9">
        <v>360</v>
      </c>
      <c r="H389" s="9">
        <v>780</v>
      </c>
      <c r="I389" s="9">
        <v>445</v>
      </c>
    </row>
    <row r="390" spans="1:9" ht="15.75" customHeight="1" x14ac:dyDescent="0.25">
      <c r="A390" s="5">
        <v>46209</v>
      </c>
      <c r="B390" s="6">
        <v>345</v>
      </c>
      <c r="C390" s="6">
        <v>290</v>
      </c>
      <c r="D390" s="6">
        <v>1400</v>
      </c>
      <c r="E390" s="6">
        <v>2510</v>
      </c>
      <c r="F390" s="6">
        <v>2300</v>
      </c>
      <c r="G390" s="6">
        <v>360</v>
      </c>
      <c r="H390" s="6">
        <v>780</v>
      </c>
      <c r="I390" s="6">
        <v>445</v>
      </c>
    </row>
    <row r="392" spans="1:9" ht="19.5" customHeight="1" x14ac:dyDescent="0.25">
      <c r="A392" s="11" t="s">
        <v>19</v>
      </c>
      <c r="B392" s="12">
        <f t="shared" ref="B392:I392" si="0">B390</f>
        <v>345</v>
      </c>
      <c r="C392" s="12">
        <f t="shared" si="0"/>
        <v>290</v>
      </c>
      <c r="D392" s="12">
        <f t="shared" si="0"/>
        <v>1400</v>
      </c>
      <c r="E392" s="12">
        <f t="shared" si="0"/>
        <v>2510</v>
      </c>
      <c r="F392" s="12">
        <f t="shared" si="0"/>
        <v>2300</v>
      </c>
      <c r="G392" s="12">
        <f t="shared" si="0"/>
        <v>360</v>
      </c>
      <c r="H392" s="12">
        <f t="shared" si="0"/>
        <v>780</v>
      </c>
      <c r="I392" s="12">
        <f t="shared" si="0"/>
        <v>445</v>
      </c>
    </row>
    <row r="393" spans="1:9" ht="19.5" customHeight="1" x14ac:dyDescent="0.25">
      <c r="A393" s="11" t="s">
        <v>20</v>
      </c>
      <c r="B393" s="12">
        <f>B6</f>
        <v>440</v>
      </c>
      <c r="C393" s="12">
        <f>C6</f>
        <v>290</v>
      </c>
      <c r="D393" s="12">
        <f>D191</f>
        <v>1400</v>
      </c>
      <c r="E393" s="12">
        <f>E6</f>
        <v>2300</v>
      </c>
      <c r="F393" s="12">
        <f>F42</f>
        <v>2300</v>
      </c>
      <c r="G393" s="12">
        <f>G6</f>
        <v>450</v>
      </c>
      <c r="H393" s="12">
        <f>H166</f>
        <v>760</v>
      </c>
      <c r="I393" s="12">
        <f>I6</f>
        <v>500</v>
      </c>
    </row>
    <row r="394" spans="1:9" ht="19.5" customHeight="1" x14ac:dyDescent="0.25">
      <c r="A394" s="11" t="s">
        <v>21</v>
      </c>
      <c r="B394" s="13">
        <f t="shared" ref="B394:I394" si="1">(B392-B393)/B393</f>
        <v>-0.21590909090909091</v>
      </c>
      <c r="C394" s="13">
        <f t="shared" si="1"/>
        <v>0</v>
      </c>
      <c r="D394" s="13">
        <f t="shared" si="1"/>
        <v>0</v>
      </c>
      <c r="E394" s="13">
        <f t="shared" si="1"/>
        <v>9.1304347826086957E-2</v>
      </c>
      <c r="F394" s="13">
        <f t="shared" si="1"/>
        <v>0</v>
      </c>
      <c r="G394" s="13">
        <f t="shared" si="1"/>
        <v>-0.2</v>
      </c>
      <c r="H394" s="13">
        <f t="shared" si="1"/>
        <v>2.6315789473684209E-2</v>
      </c>
      <c r="I394" s="13">
        <f t="shared" si="1"/>
        <v>-0.11</v>
      </c>
    </row>
  </sheetData>
  <mergeCells count="3">
    <mergeCell ref="A1:I1"/>
    <mergeCell ref="A2:I2"/>
    <mergeCell ref="A3:I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Normal="100" workbookViewId="0"/>
  </sheetViews>
  <sheetFormatPr defaultColWidth="8.7109375" defaultRowHeight="15" x14ac:dyDescent="0.25"/>
  <cols>
    <col min="1" max="1" width="7" customWidth="1"/>
    <col min="2" max="2" width="12" customWidth="1"/>
    <col min="3" max="3" width="26" customWidth="1"/>
    <col min="4" max="4" width="16" customWidth="1"/>
    <col min="5" max="9" width="20" customWidth="1"/>
  </cols>
  <sheetData>
    <row r="1" spans="1:9" ht="37.5" customHeight="1" x14ac:dyDescent="0.25">
      <c r="A1" s="340" t="s">
        <v>22</v>
      </c>
      <c r="B1" s="341"/>
      <c r="C1" s="341"/>
      <c r="D1" s="341"/>
      <c r="E1" s="341"/>
      <c r="F1" s="341"/>
      <c r="G1" s="341"/>
      <c r="H1" s="341"/>
      <c r="I1" s="341"/>
    </row>
    <row r="2" spans="1:9" ht="19.5" customHeight="1" x14ac:dyDescent="0.25">
      <c r="A2" s="342" t="s">
        <v>23</v>
      </c>
      <c r="B2" s="341"/>
      <c r="C2" s="341"/>
      <c r="D2" s="341"/>
      <c r="E2" s="341"/>
      <c r="F2" s="341"/>
      <c r="G2" s="341"/>
      <c r="H2" s="341"/>
      <c r="I2" s="341"/>
    </row>
    <row r="3" spans="1:9" ht="9.75" customHeight="1" x14ac:dyDescent="0.25">
      <c r="A3" s="343"/>
      <c r="B3" s="341"/>
      <c r="C3" s="341"/>
      <c r="D3" s="341"/>
      <c r="E3" s="341"/>
      <c r="F3" s="341"/>
      <c r="G3" s="341"/>
      <c r="H3" s="341"/>
      <c r="I3" s="341"/>
    </row>
    <row r="4" spans="1:9" ht="24" customHeight="1" x14ac:dyDescent="0.25">
      <c r="A4" s="345" t="s">
        <v>24</v>
      </c>
      <c r="B4" s="341"/>
      <c r="C4" s="341"/>
      <c r="D4" s="341"/>
      <c r="E4" s="341"/>
      <c r="F4" s="341"/>
      <c r="G4" s="341"/>
      <c r="H4" s="341"/>
      <c r="I4" s="341"/>
    </row>
    <row r="5" spans="1:9" ht="27.75" customHeight="1" x14ac:dyDescent="0.25">
      <c r="A5" s="2" t="s">
        <v>25</v>
      </c>
      <c r="B5" s="2" t="s">
        <v>26</v>
      </c>
      <c r="C5" s="2" t="s">
        <v>27</v>
      </c>
      <c r="D5" s="2" t="s">
        <v>28</v>
      </c>
      <c r="E5" s="2" t="s">
        <v>29</v>
      </c>
      <c r="F5" s="2" t="s">
        <v>30</v>
      </c>
      <c r="G5" s="2" t="s">
        <v>31</v>
      </c>
      <c r="H5" s="2" t="s">
        <v>32</v>
      </c>
    </row>
    <row r="6" spans="1:9" ht="21" customHeight="1" x14ac:dyDescent="0.25">
      <c r="A6" s="14">
        <v>1</v>
      </c>
      <c r="B6" s="15" t="s">
        <v>33</v>
      </c>
      <c r="C6" s="16" t="s">
        <v>34</v>
      </c>
      <c r="D6" s="17">
        <v>41837</v>
      </c>
      <c r="E6" s="14">
        <v>2013</v>
      </c>
      <c r="F6" s="18">
        <v>30</v>
      </c>
      <c r="G6" s="19" t="s">
        <v>35</v>
      </c>
      <c r="H6" s="20" t="s">
        <v>18</v>
      </c>
    </row>
    <row r="7" spans="1:9" ht="21" customHeight="1" x14ac:dyDescent="0.25">
      <c r="A7" s="14">
        <v>2</v>
      </c>
      <c r="B7" s="15" t="s">
        <v>33</v>
      </c>
      <c r="C7" s="16" t="s">
        <v>34</v>
      </c>
      <c r="D7" s="17">
        <v>42537</v>
      </c>
      <c r="E7" s="14">
        <v>2015</v>
      </c>
      <c r="F7" s="18">
        <v>35</v>
      </c>
      <c r="G7" s="19" t="s">
        <v>35</v>
      </c>
      <c r="H7" s="20" t="s">
        <v>18</v>
      </c>
    </row>
    <row r="8" spans="1:9" ht="21" customHeight="1" x14ac:dyDescent="0.25">
      <c r="A8" s="14">
        <v>3</v>
      </c>
      <c r="B8" s="15" t="s">
        <v>33</v>
      </c>
      <c r="C8" s="16" t="s">
        <v>34</v>
      </c>
      <c r="D8" s="17">
        <v>45547</v>
      </c>
      <c r="E8" s="14">
        <v>2023</v>
      </c>
      <c r="F8" s="18">
        <v>30</v>
      </c>
      <c r="G8" s="19" t="s">
        <v>35</v>
      </c>
      <c r="H8" s="20" t="s">
        <v>36</v>
      </c>
    </row>
    <row r="9" spans="1:9" ht="21" customHeight="1" x14ac:dyDescent="0.25">
      <c r="A9" s="21">
        <v>4</v>
      </c>
      <c r="B9" s="22" t="s">
        <v>37</v>
      </c>
      <c r="C9" s="23" t="s">
        <v>38</v>
      </c>
      <c r="D9" s="24">
        <v>41835</v>
      </c>
      <c r="E9" s="21">
        <v>2013</v>
      </c>
      <c r="F9" s="25">
        <v>20</v>
      </c>
      <c r="G9" s="26" t="s">
        <v>35</v>
      </c>
      <c r="H9" s="27" t="s">
        <v>18</v>
      </c>
    </row>
    <row r="10" spans="1:9" ht="21" customHeight="1" x14ac:dyDescent="0.25">
      <c r="A10" s="21">
        <v>5</v>
      </c>
      <c r="B10" s="22" t="s">
        <v>37</v>
      </c>
      <c r="C10" s="23" t="s">
        <v>38</v>
      </c>
      <c r="D10" s="24">
        <v>42200</v>
      </c>
      <c r="E10" s="21">
        <v>2014</v>
      </c>
      <c r="F10" s="25">
        <v>30</v>
      </c>
      <c r="G10" s="26" t="s">
        <v>35</v>
      </c>
      <c r="H10" s="27" t="s">
        <v>18</v>
      </c>
    </row>
    <row r="11" spans="1:9" ht="21" customHeight="1" x14ac:dyDescent="0.25">
      <c r="A11" s="21">
        <v>6</v>
      </c>
      <c r="B11" s="22" t="s">
        <v>37</v>
      </c>
      <c r="C11" s="23" t="s">
        <v>38</v>
      </c>
      <c r="D11" s="24">
        <v>43282</v>
      </c>
      <c r="E11" s="21">
        <v>2017</v>
      </c>
      <c r="F11" s="25">
        <v>40</v>
      </c>
      <c r="G11" s="26" t="s">
        <v>35</v>
      </c>
      <c r="H11" s="27" t="s">
        <v>18</v>
      </c>
    </row>
    <row r="12" spans="1:9" ht="21" customHeight="1" x14ac:dyDescent="0.25">
      <c r="A12" s="21">
        <v>7</v>
      </c>
      <c r="B12" s="22" t="s">
        <v>37</v>
      </c>
      <c r="C12" s="23" t="s">
        <v>38</v>
      </c>
      <c r="D12" s="24">
        <v>43647</v>
      </c>
      <c r="E12" s="21">
        <v>2018</v>
      </c>
      <c r="F12" s="25">
        <v>30</v>
      </c>
      <c r="G12" s="26" t="s">
        <v>35</v>
      </c>
      <c r="H12" s="27" t="s">
        <v>18</v>
      </c>
    </row>
    <row r="13" spans="1:9" ht="21" customHeight="1" x14ac:dyDescent="0.25">
      <c r="A13" s="28">
        <v>8</v>
      </c>
      <c r="B13" s="29" t="s">
        <v>39</v>
      </c>
      <c r="C13" s="30" t="s">
        <v>40</v>
      </c>
      <c r="D13" s="31">
        <v>45853</v>
      </c>
      <c r="E13" s="28">
        <v>2024</v>
      </c>
      <c r="F13" s="32">
        <v>77.77</v>
      </c>
      <c r="G13" s="33" t="s">
        <v>41</v>
      </c>
      <c r="H13" s="34" t="s">
        <v>42</v>
      </c>
    </row>
    <row r="14" spans="1:9" ht="21" customHeight="1" x14ac:dyDescent="0.25">
      <c r="A14" s="35">
        <v>9</v>
      </c>
      <c r="B14" s="36" t="s">
        <v>43</v>
      </c>
      <c r="C14" s="37" t="s">
        <v>44</v>
      </c>
      <c r="D14" s="38">
        <v>42597</v>
      </c>
      <c r="E14" s="35">
        <v>2015</v>
      </c>
      <c r="F14" s="39">
        <v>55</v>
      </c>
      <c r="G14" s="40" t="s">
        <v>35</v>
      </c>
      <c r="H14" s="41" t="s">
        <v>18</v>
      </c>
    </row>
    <row r="15" spans="1:9" ht="21" customHeight="1" x14ac:dyDescent="0.25">
      <c r="A15" s="35">
        <v>10</v>
      </c>
      <c r="B15" s="36" t="s">
        <v>43</v>
      </c>
      <c r="C15" s="37" t="s">
        <v>44</v>
      </c>
      <c r="D15" s="38">
        <v>42947</v>
      </c>
      <c r="E15" s="35">
        <v>2016</v>
      </c>
      <c r="F15" s="39">
        <v>66</v>
      </c>
      <c r="G15" s="40" t="s">
        <v>35</v>
      </c>
      <c r="H15" s="41" t="s">
        <v>18</v>
      </c>
    </row>
    <row r="16" spans="1:9" ht="21" customHeight="1" x14ac:dyDescent="0.25">
      <c r="A16" s="35">
        <v>11</v>
      </c>
      <c r="B16" s="36" t="s">
        <v>43</v>
      </c>
      <c r="C16" s="37" t="s">
        <v>44</v>
      </c>
      <c r="D16" s="38">
        <v>43312</v>
      </c>
      <c r="E16" s="35">
        <v>2017</v>
      </c>
      <c r="F16" s="39">
        <v>100</v>
      </c>
      <c r="G16" s="40" t="s">
        <v>35</v>
      </c>
      <c r="H16" s="41" t="s">
        <v>18</v>
      </c>
    </row>
    <row r="17" spans="1:9" ht="21" customHeight="1" x14ac:dyDescent="0.25">
      <c r="A17" s="35">
        <v>12</v>
      </c>
      <c r="B17" s="36" t="s">
        <v>43</v>
      </c>
      <c r="C17" s="37" t="s">
        <v>44</v>
      </c>
      <c r="D17" s="38">
        <v>44073</v>
      </c>
      <c r="E17" s="35">
        <v>2019</v>
      </c>
      <c r="F17" s="39">
        <v>115</v>
      </c>
      <c r="G17" s="40" t="s">
        <v>35</v>
      </c>
      <c r="H17" s="41" t="s">
        <v>18</v>
      </c>
    </row>
    <row r="18" spans="1:9" ht="21" customHeight="1" x14ac:dyDescent="0.25">
      <c r="A18" s="35">
        <v>13</v>
      </c>
      <c r="B18" s="36" t="s">
        <v>43</v>
      </c>
      <c r="C18" s="37" t="s">
        <v>44</v>
      </c>
      <c r="D18" s="38">
        <v>45537</v>
      </c>
      <c r="E18" s="35">
        <v>2023</v>
      </c>
      <c r="F18" s="39">
        <v>180</v>
      </c>
      <c r="G18" s="40" t="s">
        <v>35</v>
      </c>
      <c r="H18" s="41" t="s">
        <v>45</v>
      </c>
    </row>
    <row r="19" spans="1:9" ht="21" customHeight="1" x14ac:dyDescent="0.25">
      <c r="A19" s="35">
        <v>14</v>
      </c>
      <c r="B19" s="36" t="s">
        <v>43</v>
      </c>
      <c r="C19" s="37" t="s">
        <v>44</v>
      </c>
      <c r="D19" s="38">
        <v>45900</v>
      </c>
      <c r="E19" s="35">
        <v>2024</v>
      </c>
      <c r="F19" s="39">
        <v>160</v>
      </c>
      <c r="G19" s="42" t="s">
        <v>41</v>
      </c>
      <c r="H19" s="41" t="s">
        <v>46</v>
      </c>
    </row>
    <row r="20" spans="1:9" ht="21" customHeight="1" x14ac:dyDescent="0.25">
      <c r="A20" s="43">
        <v>15</v>
      </c>
      <c r="B20" s="44" t="s">
        <v>47</v>
      </c>
      <c r="C20" s="45" t="s">
        <v>48</v>
      </c>
      <c r="D20" s="46">
        <v>45505</v>
      </c>
      <c r="E20" s="43">
        <v>2023</v>
      </c>
      <c r="F20" s="47">
        <v>125</v>
      </c>
      <c r="G20" s="48" t="s">
        <v>35</v>
      </c>
      <c r="H20" s="49" t="s">
        <v>42</v>
      </c>
    </row>
    <row r="21" spans="1:9" ht="21" customHeight="1" x14ac:dyDescent="0.25">
      <c r="A21" s="50">
        <v>16</v>
      </c>
      <c r="B21" s="51" t="s">
        <v>49</v>
      </c>
      <c r="C21" s="52" t="s">
        <v>50</v>
      </c>
      <c r="D21" s="53">
        <v>41854</v>
      </c>
      <c r="E21" s="50">
        <v>2013</v>
      </c>
      <c r="F21" s="54">
        <v>40</v>
      </c>
      <c r="G21" s="55" t="s">
        <v>35</v>
      </c>
      <c r="H21" s="56" t="s">
        <v>18</v>
      </c>
    </row>
    <row r="22" spans="1:9" ht="21" customHeight="1" x14ac:dyDescent="0.25">
      <c r="A22" s="50">
        <v>17</v>
      </c>
      <c r="B22" s="51" t="s">
        <v>49</v>
      </c>
      <c r="C22" s="52" t="s">
        <v>50</v>
      </c>
      <c r="D22" s="53">
        <v>42220</v>
      </c>
      <c r="E22" s="50">
        <v>2014</v>
      </c>
      <c r="F22" s="54">
        <v>40</v>
      </c>
      <c r="G22" s="55" t="s">
        <v>35</v>
      </c>
      <c r="H22" s="56" t="s">
        <v>18</v>
      </c>
    </row>
    <row r="23" spans="1:9" ht="21" customHeight="1" x14ac:dyDescent="0.25">
      <c r="A23" s="50">
        <v>18</v>
      </c>
      <c r="B23" s="51" t="s">
        <v>49</v>
      </c>
      <c r="C23" s="52" t="s">
        <v>50</v>
      </c>
      <c r="D23" s="53">
        <v>42589</v>
      </c>
      <c r="E23" s="50">
        <v>2015</v>
      </c>
      <c r="F23" s="54">
        <v>40</v>
      </c>
      <c r="G23" s="55" t="s">
        <v>35</v>
      </c>
      <c r="H23" s="56" t="s">
        <v>18</v>
      </c>
    </row>
    <row r="24" spans="1:9" ht="21" customHeight="1" x14ac:dyDescent="0.25">
      <c r="A24" s="50">
        <v>19</v>
      </c>
      <c r="B24" s="51" t="s">
        <v>49</v>
      </c>
      <c r="C24" s="52" t="s">
        <v>50</v>
      </c>
      <c r="D24" s="53">
        <v>43313</v>
      </c>
      <c r="E24" s="50">
        <v>2017</v>
      </c>
      <c r="F24" s="54">
        <v>45</v>
      </c>
      <c r="G24" s="55" t="s">
        <v>35</v>
      </c>
      <c r="H24" s="56" t="s">
        <v>18</v>
      </c>
    </row>
    <row r="25" spans="1:9" ht="21" customHeight="1" x14ac:dyDescent="0.25">
      <c r="A25" s="50">
        <v>20</v>
      </c>
      <c r="B25" s="51" t="s">
        <v>49</v>
      </c>
      <c r="C25" s="52" t="s">
        <v>50</v>
      </c>
      <c r="D25" s="53">
        <v>43682</v>
      </c>
      <c r="E25" s="50">
        <v>2018</v>
      </c>
      <c r="F25" s="54">
        <v>40.5</v>
      </c>
      <c r="G25" s="55" t="s">
        <v>35</v>
      </c>
      <c r="H25" s="56" t="s">
        <v>18</v>
      </c>
    </row>
    <row r="26" spans="1:9" ht="21" customHeight="1" x14ac:dyDescent="0.25">
      <c r="A26" s="50">
        <v>21</v>
      </c>
      <c r="B26" s="51" t="s">
        <v>49</v>
      </c>
      <c r="C26" s="52" t="s">
        <v>50</v>
      </c>
      <c r="D26" s="53">
        <v>44047</v>
      </c>
      <c r="E26" s="50">
        <v>2019</v>
      </c>
      <c r="F26" s="54">
        <v>25</v>
      </c>
      <c r="G26" s="55" t="s">
        <v>35</v>
      </c>
      <c r="H26" s="56" t="s">
        <v>18</v>
      </c>
    </row>
    <row r="27" spans="1:9" ht="21" customHeight="1" x14ac:dyDescent="0.25">
      <c r="A27" s="50">
        <v>22</v>
      </c>
      <c r="B27" s="51" t="s">
        <v>49</v>
      </c>
      <c r="C27" s="52" t="s">
        <v>50</v>
      </c>
      <c r="D27" s="53">
        <v>45879</v>
      </c>
      <c r="E27" s="50">
        <v>2024</v>
      </c>
      <c r="F27" s="54">
        <v>21</v>
      </c>
      <c r="G27" s="57" t="s">
        <v>41</v>
      </c>
      <c r="H27" s="56" t="s">
        <v>51</v>
      </c>
    </row>
    <row r="30" spans="1:9" ht="24" customHeight="1" x14ac:dyDescent="0.25">
      <c r="A30" s="345" t="s">
        <v>52</v>
      </c>
      <c r="B30" s="341"/>
      <c r="C30" s="341"/>
      <c r="D30" s="341"/>
      <c r="E30" s="341"/>
      <c r="F30" s="341"/>
      <c r="G30" s="341"/>
      <c r="H30" s="341"/>
      <c r="I30" s="341"/>
    </row>
    <row r="31" spans="1:9" ht="30" customHeight="1" x14ac:dyDescent="0.25">
      <c r="A31" s="2" t="s">
        <v>26</v>
      </c>
      <c r="B31" s="2" t="s">
        <v>27</v>
      </c>
      <c r="C31" s="2" t="s">
        <v>53</v>
      </c>
      <c r="D31" s="2" t="s">
        <v>54</v>
      </c>
      <c r="E31" s="2" t="s">
        <v>55</v>
      </c>
      <c r="F31" s="2" t="s">
        <v>56</v>
      </c>
      <c r="G31" s="2" t="s">
        <v>57</v>
      </c>
      <c r="H31" s="2" t="s">
        <v>58</v>
      </c>
      <c r="I31" s="2" t="s">
        <v>59</v>
      </c>
    </row>
    <row r="32" spans="1:9" ht="21.75" customHeight="1" x14ac:dyDescent="0.25">
      <c r="A32" s="58" t="s">
        <v>33</v>
      </c>
      <c r="B32" s="59" t="s">
        <v>34</v>
      </c>
      <c r="C32" s="60">
        <v>440</v>
      </c>
      <c r="D32" s="60">
        <v>345</v>
      </c>
      <c r="E32" s="61">
        <v>-0.21590909090909099</v>
      </c>
      <c r="F32" s="62">
        <v>95</v>
      </c>
      <c r="G32" s="63">
        <v>30</v>
      </c>
      <c r="H32" s="64">
        <v>6.8181818181818205E-2</v>
      </c>
      <c r="I32" s="65">
        <v>-0.14772727272727301</v>
      </c>
    </row>
    <row r="33" spans="1:9" ht="21.75" customHeight="1" x14ac:dyDescent="0.25">
      <c r="A33" s="66" t="s">
        <v>60</v>
      </c>
      <c r="B33" s="67" t="s">
        <v>61</v>
      </c>
      <c r="C33" s="68">
        <v>290</v>
      </c>
      <c r="D33" s="68">
        <v>290</v>
      </c>
      <c r="E33" s="69">
        <v>0</v>
      </c>
      <c r="F33" s="70">
        <v>0</v>
      </c>
      <c r="G33" s="71">
        <v>0</v>
      </c>
      <c r="H33" s="72">
        <v>0</v>
      </c>
      <c r="I33" s="65">
        <v>0</v>
      </c>
    </row>
    <row r="34" spans="1:9" ht="21.75" customHeight="1" x14ac:dyDescent="0.25">
      <c r="A34" s="73" t="s">
        <v>39</v>
      </c>
      <c r="B34" s="59" t="s">
        <v>40</v>
      </c>
      <c r="C34" s="60">
        <v>1400</v>
      </c>
      <c r="D34" s="60">
        <v>1400</v>
      </c>
      <c r="E34" s="61">
        <v>0</v>
      </c>
      <c r="F34" s="62">
        <v>77.77</v>
      </c>
      <c r="G34" s="63">
        <v>77.77</v>
      </c>
      <c r="H34" s="64">
        <v>5.5550000000000002E-2</v>
      </c>
      <c r="I34" s="74">
        <v>5.5550000000000002E-2</v>
      </c>
    </row>
    <row r="35" spans="1:9" ht="21.75" customHeight="1" x14ac:dyDescent="0.25">
      <c r="A35" s="75" t="s">
        <v>43</v>
      </c>
      <c r="B35" s="67" t="s">
        <v>44</v>
      </c>
      <c r="C35" s="68">
        <v>2300</v>
      </c>
      <c r="D35" s="68">
        <v>2510</v>
      </c>
      <c r="E35" s="76">
        <v>9.1304347826086998E-2</v>
      </c>
      <c r="F35" s="70">
        <v>676</v>
      </c>
      <c r="G35" s="77">
        <v>340</v>
      </c>
      <c r="H35" s="78">
        <v>0.147826086956522</v>
      </c>
      <c r="I35" s="74">
        <v>0.23913043478260901</v>
      </c>
    </row>
    <row r="36" spans="1:9" ht="21.75" customHeight="1" x14ac:dyDescent="0.25">
      <c r="A36" s="79" t="s">
        <v>47</v>
      </c>
      <c r="B36" s="59" t="s">
        <v>48</v>
      </c>
      <c r="C36" s="60">
        <v>2300</v>
      </c>
      <c r="D36" s="60">
        <v>2300</v>
      </c>
      <c r="E36" s="61">
        <v>0</v>
      </c>
      <c r="F36" s="62">
        <v>125</v>
      </c>
      <c r="G36" s="63">
        <v>125</v>
      </c>
      <c r="H36" s="64">
        <v>5.4347826086956499E-2</v>
      </c>
      <c r="I36" s="74">
        <v>5.4347826086956499E-2</v>
      </c>
    </row>
    <row r="37" spans="1:9" ht="21.75" customHeight="1" x14ac:dyDescent="0.25">
      <c r="A37" s="80" t="s">
        <v>37</v>
      </c>
      <c r="B37" s="67" t="s">
        <v>38</v>
      </c>
      <c r="C37" s="68">
        <v>450</v>
      </c>
      <c r="D37" s="68">
        <v>360</v>
      </c>
      <c r="E37" s="69">
        <v>-0.2</v>
      </c>
      <c r="F37" s="70">
        <v>120</v>
      </c>
      <c r="G37" s="71">
        <v>0</v>
      </c>
      <c r="H37" s="72">
        <v>0</v>
      </c>
      <c r="I37" s="65">
        <v>-0.2</v>
      </c>
    </row>
    <row r="38" spans="1:9" ht="21.75" customHeight="1" x14ac:dyDescent="0.25">
      <c r="A38" s="81" t="s">
        <v>62</v>
      </c>
      <c r="B38" s="59" t="s">
        <v>63</v>
      </c>
      <c r="C38" s="60">
        <v>760</v>
      </c>
      <c r="D38" s="60">
        <v>780</v>
      </c>
      <c r="E38" s="82">
        <v>2.6315789473684199E-2</v>
      </c>
      <c r="F38" s="62">
        <v>0</v>
      </c>
      <c r="G38" s="83">
        <v>0</v>
      </c>
      <c r="H38" s="84">
        <v>0</v>
      </c>
      <c r="I38" s="74">
        <v>2.6315789473684199E-2</v>
      </c>
    </row>
    <row r="39" spans="1:9" ht="21.75" customHeight="1" x14ac:dyDescent="0.25">
      <c r="A39" s="85" t="s">
        <v>49</v>
      </c>
      <c r="B39" s="67" t="s">
        <v>50</v>
      </c>
      <c r="C39" s="68">
        <v>500</v>
      </c>
      <c r="D39" s="68">
        <v>445</v>
      </c>
      <c r="E39" s="69">
        <v>-0.11</v>
      </c>
      <c r="F39" s="70">
        <v>251.5</v>
      </c>
      <c r="G39" s="77">
        <v>21</v>
      </c>
      <c r="H39" s="78">
        <v>4.2000000000000003E-2</v>
      </c>
      <c r="I39" s="65">
        <v>-6.8000000000000005E-2</v>
      </c>
    </row>
    <row r="41" spans="1:9" ht="15" customHeight="1" x14ac:dyDescent="0.25">
      <c r="A41" s="344" t="s">
        <v>64</v>
      </c>
      <c r="B41" s="341"/>
      <c r="C41" s="341"/>
      <c r="D41" s="341"/>
      <c r="E41" s="341"/>
      <c r="F41" s="341"/>
      <c r="G41" s="341"/>
      <c r="H41" s="341"/>
      <c r="I41" s="341"/>
    </row>
  </sheetData>
  <mergeCells count="6">
    <mergeCell ref="A41:I41"/>
    <mergeCell ref="A2:I2"/>
    <mergeCell ref="A1:I1"/>
    <mergeCell ref="A3:I3"/>
    <mergeCell ref="A4:I4"/>
    <mergeCell ref="A30:I3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3"/>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4" customWidth="1"/>
    <col min="2" max="9" width="16" customWidth="1"/>
  </cols>
  <sheetData>
    <row r="1" spans="1:9" ht="37.5" customHeight="1" x14ac:dyDescent="0.25">
      <c r="A1" s="340" t="s">
        <v>65</v>
      </c>
      <c r="B1" s="341"/>
      <c r="C1" s="341"/>
      <c r="D1" s="341"/>
      <c r="E1" s="341"/>
      <c r="F1" s="341"/>
      <c r="G1" s="341"/>
      <c r="H1" s="341"/>
      <c r="I1" s="341"/>
    </row>
    <row r="2" spans="1:9" ht="19.5" customHeight="1" x14ac:dyDescent="0.25">
      <c r="A2" s="342" t="s">
        <v>66</v>
      </c>
      <c r="B2" s="341"/>
      <c r="C2" s="341"/>
      <c r="D2" s="341"/>
      <c r="E2" s="341"/>
      <c r="F2" s="341"/>
      <c r="G2" s="341"/>
      <c r="H2" s="341"/>
      <c r="I2" s="341"/>
    </row>
    <row r="3" spans="1:9" ht="9.75" customHeight="1" x14ac:dyDescent="0.25">
      <c r="A3" s="343"/>
      <c r="B3" s="341"/>
      <c r="C3" s="341"/>
      <c r="D3" s="341"/>
      <c r="E3" s="341"/>
      <c r="F3" s="341"/>
      <c r="G3" s="341"/>
      <c r="H3" s="341"/>
      <c r="I3" s="341"/>
    </row>
    <row r="4" spans="1:9" ht="30" customHeight="1" x14ac:dyDescent="0.25">
      <c r="A4" s="1" t="s">
        <v>2</v>
      </c>
      <c r="B4" s="2" t="s">
        <v>3</v>
      </c>
      <c r="C4" s="2" t="s">
        <v>4</v>
      </c>
      <c r="D4" s="2" t="s">
        <v>5</v>
      </c>
      <c r="E4" s="2" t="s">
        <v>6</v>
      </c>
      <c r="F4" s="2" t="s">
        <v>7</v>
      </c>
      <c r="G4" s="2" t="s">
        <v>8</v>
      </c>
      <c r="H4" s="2" t="s">
        <v>9</v>
      </c>
      <c r="I4" s="2" t="s">
        <v>10</v>
      </c>
    </row>
    <row r="5" spans="1:9" ht="15" customHeight="1" x14ac:dyDescent="0.25">
      <c r="A5" s="5">
        <v>45732</v>
      </c>
      <c r="B5" s="86">
        <v>0</v>
      </c>
      <c r="C5" s="86">
        <v>0</v>
      </c>
      <c r="D5" s="86">
        <v>0</v>
      </c>
      <c r="E5" s="86">
        <v>0</v>
      </c>
      <c r="F5" s="86">
        <v>0</v>
      </c>
      <c r="G5" s="86">
        <v>0</v>
      </c>
      <c r="H5" s="86">
        <v>0</v>
      </c>
      <c r="I5" s="86">
        <v>0</v>
      </c>
    </row>
    <row r="6" spans="1:9" ht="15" customHeight="1" x14ac:dyDescent="0.25">
      <c r="A6" s="8">
        <v>45734</v>
      </c>
      <c r="B6" s="87">
        <v>0</v>
      </c>
      <c r="C6" s="87">
        <v>0</v>
      </c>
      <c r="D6" s="87">
        <v>0</v>
      </c>
      <c r="E6" s="88">
        <v>-4.3824701195219098E-2</v>
      </c>
      <c r="F6" s="87">
        <v>0</v>
      </c>
      <c r="G6" s="87">
        <v>0</v>
      </c>
      <c r="H6" s="87">
        <v>0</v>
      </c>
      <c r="I6" s="87">
        <v>0</v>
      </c>
    </row>
    <row r="7" spans="1:9" ht="15" customHeight="1" x14ac:dyDescent="0.25">
      <c r="A7" s="5">
        <v>45736</v>
      </c>
      <c r="B7" s="86">
        <v>0</v>
      </c>
      <c r="C7" s="86">
        <v>0</v>
      </c>
      <c r="D7" s="86">
        <v>0</v>
      </c>
      <c r="E7" s="86">
        <v>0</v>
      </c>
      <c r="F7" s="89">
        <v>-2.3181818181818199E-2</v>
      </c>
      <c r="G7" s="86">
        <v>0</v>
      </c>
      <c r="H7" s="86">
        <v>0</v>
      </c>
      <c r="I7" s="86">
        <v>0</v>
      </c>
    </row>
    <row r="8" spans="1:9" ht="15" customHeight="1" x14ac:dyDescent="0.25">
      <c r="A8" s="8">
        <v>45739</v>
      </c>
      <c r="B8" s="87">
        <v>0</v>
      </c>
      <c r="C8" s="87">
        <v>0</v>
      </c>
      <c r="D8" s="87">
        <v>0</v>
      </c>
      <c r="E8" s="87">
        <v>0</v>
      </c>
      <c r="F8" s="87">
        <v>0</v>
      </c>
      <c r="G8" s="87">
        <v>0</v>
      </c>
      <c r="H8" s="87">
        <v>0</v>
      </c>
      <c r="I8" s="87">
        <v>0</v>
      </c>
    </row>
    <row r="9" spans="1:9" ht="15" customHeight="1" x14ac:dyDescent="0.25">
      <c r="A9" s="5">
        <v>45741</v>
      </c>
      <c r="B9" s="86">
        <v>0</v>
      </c>
      <c r="C9" s="86">
        <v>0</v>
      </c>
      <c r="D9" s="86">
        <v>0</v>
      </c>
      <c r="E9" s="86">
        <v>0</v>
      </c>
      <c r="F9" s="90">
        <v>2.37319683573756E-2</v>
      </c>
      <c r="G9" s="86">
        <v>0</v>
      </c>
      <c r="H9" s="86">
        <v>0</v>
      </c>
      <c r="I9" s="86">
        <v>0</v>
      </c>
    </row>
    <row r="10" spans="1:9" ht="15" customHeight="1" x14ac:dyDescent="0.25">
      <c r="A10" s="8">
        <v>45743</v>
      </c>
      <c r="B10" s="87">
        <v>0</v>
      </c>
      <c r="C10" s="87">
        <v>0</v>
      </c>
      <c r="D10" s="87">
        <v>0</v>
      </c>
      <c r="E10" s="87">
        <v>0</v>
      </c>
      <c r="F10" s="87">
        <v>0</v>
      </c>
      <c r="G10" s="87">
        <v>0</v>
      </c>
      <c r="H10" s="91">
        <v>1.26582278481013E-2</v>
      </c>
      <c r="I10" s="87">
        <v>0</v>
      </c>
    </row>
    <row r="11" spans="1:9" ht="15" customHeight="1" x14ac:dyDescent="0.25">
      <c r="A11" s="5">
        <v>45746</v>
      </c>
      <c r="B11" s="86">
        <v>0</v>
      </c>
      <c r="C11" s="86">
        <v>0</v>
      </c>
      <c r="D11" s="86">
        <v>0</v>
      </c>
      <c r="E11" s="86">
        <v>0</v>
      </c>
      <c r="F11" s="86">
        <v>0</v>
      </c>
      <c r="G11" s="86">
        <v>0</v>
      </c>
      <c r="H11" s="89">
        <v>-1.2500000000000001E-2</v>
      </c>
      <c r="I11" s="86">
        <v>0</v>
      </c>
    </row>
    <row r="12" spans="1:9" ht="15" customHeight="1" x14ac:dyDescent="0.25">
      <c r="A12" s="8">
        <v>45750</v>
      </c>
      <c r="B12" s="87">
        <v>0</v>
      </c>
      <c r="C12" s="87">
        <v>0</v>
      </c>
      <c r="D12" s="87">
        <v>0</v>
      </c>
      <c r="E12" s="87">
        <v>0</v>
      </c>
      <c r="F12" s="87">
        <v>0</v>
      </c>
      <c r="G12" s="87">
        <v>0</v>
      </c>
      <c r="H12" s="87">
        <v>0</v>
      </c>
      <c r="I12" s="87">
        <v>0</v>
      </c>
    </row>
    <row r="13" spans="1:9" ht="15" customHeight="1" x14ac:dyDescent="0.25">
      <c r="A13" s="5">
        <v>45753</v>
      </c>
      <c r="B13" s="86">
        <v>0</v>
      </c>
      <c r="C13" s="86">
        <v>0</v>
      </c>
      <c r="D13" s="86">
        <v>0</v>
      </c>
      <c r="E13" s="86">
        <v>0</v>
      </c>
      <c r="F13" s="86">
        <v>0</v>
      </c>
      <c r="G13" s="86">
        <v>0</v>
      </c>
      <c r="H13" s="86">
        <v>0</v>
      </c>
      <c r="I13" s="86">
        <v>0</v>
      </c>
    </row>
    <row r="14" spans="1:9" ht="15" customHeight="1" x14ac:dyDescent="0.25">
      <c r="A14" s="8">
        <v>45755</v>
      </c>
      <c r="B14" s="87">
        <v>0</v>
      </c>
      <c r="C14" s="87">
        <v>0</v>
      </c>
      <c r="D14" s="87">
        <v>0</v>
      </c>
      <c r="E14" s="87">
        <v>0</v>
      </c>
      <c r="F14" s="87">
        <v>0</v>
      </c>
      <c r="G14" s="87">
        <v>0</v>
      </c>
      <c r="H14" s="88">
        <v>-1.26582278481012E-2</v>
      </c>
      <c r="I14" s="87">
        <v>0</v>
      </c>
    </row>
    <row r="15" spans="1:9" ht="15" customHeight="1" x14ac:dyDescent="0.25">
      <c r="A15" s="5">
        <v>45757</v>
      </c>
      <c r="B15" s="86">
        <v>0</v>
      </c>
      <c r="C15" s="86">
        <v>0</v>
      </c>
      <c r="D15" s="86">
        <v>0</v>
      </c>
      <c r="E15" s="86">
        <v>0</v>
      </c>
      <c r="F15" s="90">
        <v>4.54545454545454E-2</v>
      </c>
      <c r="G15" s="86">
        <v>0</v>
      </c>
      <c r="H15" s="86">
        <v>0</v>
      </c>
      <c r="I15" s="86">
        <v>0</v>
      </c>
    </row>
    <row r="16" spans="1:9" ht="15" customHeight="1" x14ac:dyDescent="0.25">
      <c r="A16" s="8">
        <v>45760</v>
      </c>
      <c r="B16" s="87">
        <v>0</v>
      </c>
      <c r="C16" s="87">
        <v>0</v>
      </c>
      <c r="D16" s="87">
        <v>0</v>
      </c>
      <c r="E16" s="87">
        <v>0</v>
      </c>
      <c r="F16" s="87">
        <v>0</v>
      </c>
      <c r="G16" s="87">
        <v>0</v>
      </c>
      <c r="H16" s="87">
        <v>0</v>
      </c>
      <c r="I16" s="87">
        <v>0</v>
      </c>
    </row>
    <row r="17" spans="1:9" ht="15" customHeight="1" x14ac:dyDescent="0.25">
      <c r="A17" s="5">
        <v>45762</v>
      </c>
      <c r="B17" s="86">
        <v>0</v>
      </c>
      <c r="C17" s="86">
        <v>0</v>
      </c>
      <c r="D17" s="86">
        <v>0</v>
      </c>
      <c r="E17" s="86">
        <v>0</v>
      </c>
      <c r="F17" s="86">
        <v>0</v>
      </c>
      <c r="G17" s="86">
        <v>0</v>
      </c>
      <c r="H17" s="86">
        <v>0</v>
      </c>
      <c r="I17" s="86">
        <v>0</v>
      </c>
    </row>
    <row r="18" spans="1:9" ht="15" customHeight="1" x14ac:dyDescent="0.25">
      <c r="A18" s="8">
        <v>45764</v>
      </c>
      <c r="B18" s="91">
        <v>2.3809523809523699E-3</v>
      </c>
      <c r="C18" s="87">
        <v>0</v>
      </c>
      <c r="D18" s="87">
        <v>0</v>
      </c>
      <c r="E18" s="87">
        <v>0</v>
      </c>
      <c r="F18" s="88">
        <v>-4.3478260869567198E-4</v>
      </c>
      <c r="G18" s="87">
        <v>0</v>
      </c>
      <c r="H18" s="87">
        <v>0</v>
      </c>
      <c r="I18" s="87">
        <v>0</v>
      </c>
    </row>
    <row r="19" spans="1:9" ht="15" customHeight="1" x14ac:dyDescent="0.25">
      <c r="A19" s="5">
        <v>45767</v>
      </c>
      <c r="B19" s="86">
        <v>0</v>
      </c>
      <c r="C19" s="86">
        <v>0</v>
      </c>
      <c r="D19" s="86">
        <v>0</v>
      </c>
      <c r="E19" s="86">
        <v>0</v>
      </c>
      <c r="F19" s="90">
        <v>4.3497172683770703E-4</v>
      </c>
      <c r="G19" s="86">
        <v>0</v>
      </c>
      <c r="H19" s="86">
        <v>0</v>
      </c>
      <c r="I19" s="86">
        <v>0</v>
      </c>
    </row>
    <row r="20" spans="1:9" ht="15" customHeight="1" x14ac:dyDescent="0.25">
      <c r="A20" s="8">
        <v>45769</v>
      </c>
      <c r="B20" s="88">
        <v>-2.37529691211402E-3</v>
      </c>
      <c r="C20" s="87">
        <v>0</v>
      </c>
      <c r="D20" s="87">
        <v>0</v>
      </c>
      <c r="E20" s="87">
        <v>0</v>
      </c>
      <c r="F20" s="87">
        <v>0</v>
      </c>
      <c r="G20" s="87">
        <v>0</v>
      </c>
      <c r="H20" s="87">
        <v>0</v>
      </c>
      <c r="I20" s="87">
        <v>0</v>
      </c>
    </row>
    <row r="21" spans="1:9" ht="15" customHeight="1" x14ac:dyDescent="0.25">
      <c r="A21" s="5">
        <v>45771</v>
      </c>
      <c r="B21" s="89">
        <v>-2.3809523809523801E-2</v>
      </c>
      <c r="C21" s="86">
        <v>0</v>
      </c>
      <c r="D21" s="90">
        <v>7.1428571428566701E-4</v>
      </c>
      <c r="E21" s="86">
        <v>0</v>
      </c>
      <c r="F21" s="86">
        <v>0</v>
      </c>
      <c r="G21" s="86">
        <v>0</v>
      </c>
      <c r="H21" s="86">
        <v>0</v>
      </c>
      <c r="I21" s="86">
        <v>0</v>
      </c>
    </row>
    <row r="22" spans="1:9" ht="15" customHeight="1" x14ac:dyDescent="0.25">
      <c r="A22" s="8">
        <v>45774</v>
      </c>
      <c r="B22" s="87">
        <v>0</v>
      </c>
      <c r="C22" s="87">
        <v>0</v>
      </c>
      <c r="D22" s="87">
        <v>0</v>
      </c>
      <c r="E22" s="87">
        <v>0</v>
      </c>
      <c r="F22" s="87">
        <v>0</v>
      </c>
      <c r="G22" s="87">
        <v>0</v>
      </c>
      <c r="H22" s="87">
        <v>0</v>
      </c>
      <c r="I22" s="87">
        <v>0</v>
      </c>
    </row>
    <row r="23" spans="1:9" ht="15" customHeight="1" x14ac:dyDescent="0.25">
      <c r="A23" s="5">
        <v>45776</v>
      </c>
      <c r="B23" s="90">
        <v>4.8780487804878099E-2</v>
      </c>
      <c r="C23" s="86">
        <v>0</v>
      </c>
      <c r="D23" s="90">
        <v>2.8551034975017298E-3</v>
      </c>
      <c r="E23" s="86">
        <v>0</v>
      </c>
      <c r="F23" s="86">
        <v>0</v>
      </c>
      <c r="G23" s="86">
        <v>0</v>
      </c>
      <c r="H23" s="86">
        <v>0</v>
      </c>
      <c r="I23" s="89">
        <v>-1.2345679012345699E-2</v>
      </c>
    </row>
    <row r="24" spans="1:9" ht="15" customHeight="1" x14ac:dyDescent="0.25">
      <c r="A24" s="8">
        <v>45781</v>
      </c>
      <c r="B24" s="87">
        <v>0</v>
      </c>
      <c r="C24" s="87">
        <v>0</v>
      </c>
      <c r="D24" s="87">
        <v>0</v>
      </c>
      <c r="E24" s="87">
        <v>0</v>
      </c>
      <c r="F24" s="87">
        <v>0</v>
      </c>
      <c r="G24" s="87">
        <v>0</v>
      </c>
      <c r="H24" s="87">
        <v>0</v>
      </c>
      <c r="I24" s="87">
        <v>0</v>
      </c>
    </row>
    <row r="25" spans="1:9" ht="15" customHeight="1" x14ac:dyDescent="0.25">
      <c r="A25" s="5">
        <v>45783</v>
      </c>
      <c r="B25" s="86">
        <v>0</v>
      </c>
      <c r="C25" s="86">
        <v>0</v>
      </c>
      <c r="D25" s="90">
        <v>3.5587188612100601E-3</v>
      </c>
      <c r="E25" s="86">
        <v>0</v>
      </c>
      <c r="F25" s="86">
        <v>0</v>
      </c>
      <c r="G25" s="86">
        <v>0</v>
      </c>
      <c r="H25" s="90">
        <v>1.2820512820512799E-2</v>
      </c>
      <c r="I25" s="90">
        <v>1.2500000000000001E-2</v>
      </c>
    </row>
    <row r="26" spans="1:9" ht="15" customHeight="1" x14ac:dyDescent="0.25">
      <c r="A26" s="8">
        <v>45785</v>
      </c>
      <c r="B26" s="87">
        <v>0</v>
      </c>
      <c r="C26" s="87">
        <v>0</v>
      </c>
      <c r="D26" s="87">
        <v>0</v>
      </c>
      <c r="E26" s="87">
        <v>0</v>
      </c>
      <c r="F26" s="87">
        <v>0</v>
      </c>
      <c r="G26" s="87">
        <v>0</v>
      </c>
      <c r="H26" s="88">
        <v>-1.26582278481012E-2</v>
      </c>
      <c r="I26" s="87">
        <v>0</v>
      </c>
    </row>
    <row r="27" spans="1:9" ht="15" customHeight="1" x14ac:dyDescent="0.25">
      <c r="A27" s="5">
        <v>45788</v>
      </c>
      <c r="B27" s="86">
        <v>0</v>
      </c>
      <c r="C27" s="86">
        <v>0</v>
      </c>
      <c r="D27" s="90">
        <v>3.5460992907800901E-3</v>
      </c>
      <c r="E27" s="86">
        <v>0</v>
      </c>
      <c r="F27" s="86">
        <v>0</v>
      </c>
      <c r="G27" s="86">
        <v>0</v>
      </c>
      <c r="H27" s="86">
        <v>0</v>
      </c>
      <c r="I27" s="86">
        <v>0</v>
      </c>
    </row>
    <row r="28" spans="1:9" ht="15" customHeight="1" x14ac:dyDescent="0.25">
      <c r="A28" s="8">
        <v>45790</v>
      </c>
      <c r="B28" s="88">
        <v>-2.32558139534884E-2</v>
      </c>
      <c r="C28" s="87">
        <v>0</v>
      </c>
      <c r="D28" s="87">
        <v>0</v>
      </c>
      <c r="E28" s="87">
        <v>0</v>
      </c>
      <c r="F28" s="87">
        <v>0</v>
      </c>
      <c r="G28" s="87">
        <v>0</v>
      </c>
      <c r="H28" s="87">
        <v>0</v>
      </c>
      <c r="I28" s="87">
        <v>0</v>
      </c>
    </row>
    <row r="29" spans="1:9" ht="15" customHeight="1" x14ac:dyDescent="0.25">
      <c r="A29" s="5">
        <v>45792</v>
      </c>
      <c r="B29" s="86">
        <v>0</v>
      </c>
      <c r="C29" s="86">
        <v>0</v>
      </c>
      <c r="D29" s="86">
        <v>0</v>
      </c>
      <c r="E29" s="86">
        <v>0</v>
      </c>
      <c r="F29" s="86">
        <v>0</v>
      </c>
      <c r="G29" s="86">
        <v>0</v>
      </c>
      <c r="H29" s="86">
        <v>0</v>
      </c>
      <c r="I29" s="86">
        <v>0</v>
      </c>
    </row>
    <row r="30" spans="1:9" ht="15" customHeight="1" x14ac:dyDescent="0.25">
      <c r="A30" s="8">
        <v>45795</v>
      </c>
      <c r="B30" s="87">
        <v>0</v>
      </c>
      <c r="C30" s="87">
        <v>0</v>
      </c>
      <c r="D30" s="87">
        <v>0</v>
      </c>
      <c r="E30" s="87">
        <v>0</v>
      </c>
      <c r="F30" s="87">
        <v>0</v>
      </c>
      <c r="G30" s="87">
        <v>0</v>
      </c>
      <c r="H30" s="87">
        <v>0</v>
      </c>
      <c r="I30" s="87">
        <v>0</v>
      </c>
    </row>
    <row r="31" spans="1:9" ht="15" customHeight="1" x14ac:dyDescent="0.25">
      <c r="A31" s="5">
        <v>45797</v>
      </c>
      <c r="B31" s="86">
        <v>0</v>
      </c>
      <c r="C31" s="86">
        <v>0</v>
      </c>
      <c r="D31" s="86">
        <v>0</v>
      </c>
      <c r="E31" s="90">
        <v>4.2083333333333299E-2</v>
      </c>
      <c r="F31" s="86">
        <v>0</v>
      </c>
      <c r="G31" s="86">
        <v>0</v>
      </c>
      <c r="H31" s="86">
        <v>0</v>
      </c>
      <c r="I31" s="86">
        <v>0</v>
      </c>
    </row>
    <row r="32" spans="1:9" ht="15" customHeight="1" x14ac:dyDescent="0.25">
      <c r="A32" s="8">
        <v>45799</v>
      </c>
      <c r="B32" s="87">
        <v>0</v>
      </c>
      <c r="C32" s="87">
        <v>0</v>
      </c>
      <c r="D32" s="87">
        <v>0</v>
      </c>
      <c r="E32" s="87">
        <v>0</v>
      </c>
      <c r="F32" s="87">
        <v>0</v>
      </c>
      <c r="G32" s="87">
        <v>0</v>
      </c>
      <c r="H32" s="87">
        <v>0</v>
      </c>
      <c r="I32" s="87">
        <v>0</v>
      </c>
    </row>
    <row r="33" spans="1:9" ht="15" customHeight="1" x14ac:dyDescent="0.25">
      <c r="A33" s="5">
        <v>45802</v>
      </c>
      <c r="B33" s="86">
        <v>0</v>
      </c>
      <c r="C33" s="86">
        <v>0</v>
      </c>
      <c r="D33" s="86">
        <v>0</v>
      </c>
      <c r="E33" s="86">
        <v>0</v>
      </c>
      <c r="F33" s="86">
        <v>0</v>
      </c>
      <c r="G33" s="86">
        <v>0</v>
      </c>
      <c r="H33" s="86">
        <v>0</v>
      </c>
      <c r="I33" s="86">
        <v>0</v>
      </c>
    </row>
    <row r="34" spans="1:9" ht="15" customHeight="1" x14ac:dyDescent="0.25">
      <c r="A34" s="8">
        <v>45804</v>
      </c>
      <c r="B34" s="87">
        <v>0</v>
      </c>
      <c r="C34" s="87">
        <v>0</v>
      </c>
      <c r="D34" s="91">
        <v>3.5335689045936699E-3</v>
      </c>
      <c r="E34" s="87">
        <v>0</v>
      </c>
      <c r="F34" s="87">
        <v>0</v>
      </c>
      <c r="G34" s="87">
        <v>0</v>
      </c>
      <c r="H34" s="87">
        <v>0</v>
      </c>
      <c r="I34" s="87">
        <v>0</v>
      </c>
    </row>
    <row r="35" spans="1:9" ht="15" customHeight="1" x14ac:dyDescent="0.25">
      <c r="A35" s="5">
        <v>45806</v>
      </c>
      <c r="B35" s="86">
        <v>0</v>
      </c>
      <c r="C35" s="86">
        <v>0</v>
      </c>
      <c r="D35" s="89">
        <v>-2.8169014084507E-3</v>
      </c>
      <c r="E35" s="89">
        <v>-3.99840063974422E-4</v>
      </c>
      <c r="F35" s="86">
        <v>0</v>
      </c>
      <c r="G35" s="86">
        <v>0</v>
      </c>
      <c r="H35" s="86">
        <v>0</v>
      </c>
      <c r="I35" s="86">
        <v>0</v>
      </c>
    </row>
    <row r="36" spans="1:9" ht="15" customHeight="1" x14ac:dyDescent="0.25">
      <c r="A36" s="8">
        <v>45809</v>
      </c>
      <c r="B36" s="87">
        <v>0</v>
      </c>
      <c r="C36" s="87">
        <v>0</v>
      </c>
      <c r="D36" s="91">
        <v>2.8248587570620701E-3</v>
      </c>
      <c r="E36" s="87">
        <v>0</v>
      </c>
      <c r="F36" s="87">
        <v>0</v>
      </c>
      <c r="G36" s="87">
        <v>0</v>
      </c>
      <c r="H36" s="88">
        <v>-1.0256410256410199E-2</v>
      </c>
      <c r="I36" s="87">
        <v>0</v>
      </c>
    </row>
    <row r="37" spans="1:9" ht="15" customHeight="1" x14ac:dyDescent="0.25">
      <c r="A37" s="5">
        <v>45811</v>
      </c>
      <c r="B37" s="86">
        <v>0</v>
      </c>
      <c r="C37" s="86">
        <v>0</v>
      </c>
      <c r="D37" s="86">
        <v>0</v>
      </c>
      <c r="E37" s="86">
        <v>0</v>
      </c>
      <c r="F37" s="86">
        <v>0</v>
      </c>
      <c r="G37" s="86">
        <v>0</v>
      </c>
      <c r="H37" s="86">
        <v>0</v>
      </c>
      <c r="I37" s="86">
        <v>0</v>
      </c>
    </row>
    <row r="38" spans="1:9" ht="15" customHeight="1" x14ac:dyDescent="0.25">
      <c r="A38" s="8">
        <v>45813</v>
      </c>
      <c r="B38" s="87">
        <v>0</v>
      </c>
      <c r="C38" s="87">
        <v>0</v>
      </c>
      <c r="D38" s="87">
        <v>0</v>
      </c>
      <c r="E38" s="88">
        <v>-0.02</v>
      </c>
      <c r="F38" s="87">
        <v>0</v>
      </c>
      <c r="G38" s="87">
        <v>0</v>
      </c>
      <c r="H38" s="87">
        <v>0</v>
      </c>
      <c r="I38" s="87">
        <v>0</v>
      </c>
    </row>
    <row r="39" spans="1:9" ht="15" customHeight="1" x14ac:dyDescent="0.25">
      <c r="A39" s="5">
        <v>45817</v>
      </c>
      <c r="B39" s="86">
        <v>0</v>
      </c>
      <c r="C39" s="86">
        <v>0</v>
      </c>
      <c r="D39" s="86">
        <v>0</v>
      </c>
      <c r="E39" s="86">
        <v>0</v>
      </c>
      <c r="F39" s="86">
        <v>0</v>
      </c>
      <c r="G39" s="86">
        <v>0</v>
      </c>
      <c r="H39" s="86">
        <v>0</v>
      </c>
      <c r="I39" s="86">
        <v>0</v>
      </c>
    </row>
    <row r="40" spans="1:9" ht="15" customHeight="1" x14ac:dyDescent="0.25">
      <c r="A40" s="8">
        <v>45818</v>
      </c>
      <c r="B40" s="87">
        <v>0</v>
      </c>
      <c r="C40" s="87">
        <v>0</v>
      </c>
      <c r="D40" s="87">
        <v>0</v>
      </c>
      <c r="E40" s="87">
        <v>0</v>
      </c>
      <c r="F40" s="87">
        <v>0</v>
      </c>
      <c r="G40" s="87">
        <v>0</v>
      </c>
      <c r="H40" s="87">
        <v>0</v>
      </c>
      <c r="I40" s="87">
        <v>0</v>
      </c>
    </row>
    <row r="41" spans="1:9" ht="15" customHeight="1" x14ac:dyDescent="0.25">
      <c r="A41" s="5">
        <v>45820</v>
      </c>
      <c r="B41" s="86">
        <v>0</v>
      </c>
      <c r="C41" s="86">
        <v>0</v>
      </c>
      <c r="D41" s="86">
        <v>0</v>
      </c>
      <c r="E41" s="86">
        <v>0</v>
      </c>
      <c r="F41" s="86">
        <v>0</v>
      </c>
      <c r="G41" s="86">
        <v>0</v>
      </c>
      <c r="H41" s="86">
        <v>0</v>
      </c>
      <c r="I41" s="86">
        <v>0</v>
      </c>
    </row>
    <row r="42" spans="1:9" ht="15" customHeight="1" x14ac:dyDescent="0.25">
      <c r="A42" s="8">
        <v>45823</v>
      </c>
      <c r="B42" s="87">
        <v>0</v>
      </c>
      <c r="C42" s="87">
        <v>0</v>
      </c>
      <c r="D42" s="91">
        <v>3.5211267605634901E-3</v>
      </c>
      <c r="E42" s="87">
        <v>0</v>
      </c>
      <c r="F42" s="87">
        <v>0</v>
      </c>
      <c r="G42" s="87">
        <v>0</v>
      </c>
      <c r="H42" s="87">
        <v>0</v>
      </c>
      <c r="I42" s="87">
        <v>0</v>
      </c>
    </row>
    <row r="43" spans="1:9" ht="15" customHeight="1" x14ac:dyDescent="0.25">
      <c r="A43" s="5">
        <v>45825</v>
      </c>
      <c r="B43" s="86">
        <v>0</v>
      </c>
      <c r="C43" s="86">
        <v>0</v>
      </c>
      <c r="D43" s="90">
        <v>7.0175438596487005E-4</v>
      </c>
      <c r="E43" s="86">
        <v>0</v>
      </c>
      <c r="F43" s="86">
        <v>0</v>
      </c>
      <c r="G43" s="86">
        <v>0</v>
      </c>
      <c r="H43" s="86">
        <v>0</v>
      </c>
      <c r="I43" s="86">
        <v>0</v>
      </c>
    </row>
    <row r="44" spans="1:9" ht="15" customHeight="1" x14ac:dyDescent="0.25">
      <c r="A44" s="8">
        <v>45827</v>
      </c>
      <c r="B44" s="91">
        <v>4.76190476190477E-2</v>
      </c>
      <c r="C44" s="87">
        <v>0</v>
      </c>
      <c r="D44" s="88">
        <v>-7.01262272089775E-4</v>
      </c>
      <c r="E44" s="87">
        <v>0</v>
      </c>
      <c r="F44" s="87">
        <v>0</v>
      </c>
      <c r="G44" s="87">
        <v>0</v>
      </c>
      <c r="H44" s="87">
        <v>0</v>
      </c>
      <c r="I44" s="87">
        <v>0</v>
      </c>
    </row>
    <row r="45" spans="1:9" ht="15" customHeight="1" x14ac:dyDescent="0.25">
      <c r="A45" s="5">
        <v>45830</v>
      </c>
      <c r="B45" s="86">
        <v>0</v>
      </c>
      <c r="C45" s="86">
        <v>0</v>
      </c>
      <c r="D45" s="86">
        <v>0</v>
      </c>
      <c r="E45" s="86">
        <v>0</v>
      </c>
      <c r="F45" s="86">
        <v>0</v>
      </c>
      <c r="G45" s="86">
        <v>0</v>
      </c>
      <c r="H45" s="86">
        <v>0</v>
      </c>
      <c r="I45" s="86">
        <v>0</v>
      </c>
    </row>
    <row r="46" spans="1:9" ht="15" customHeight="1" x14ac:dyDescent="0.25">
      <c r="A46" s="8">
        <v>45832</v>
      </c>
      <c r="B46" s="88">
        <v>-4.54545454545454E-2</v>
      </c>
      <c r="C46" s="87">
        <v>0</v>
      </c>
      <c r="D46" s="91">
        <v>3.5087719298245701E-3</v>
      </c>
      <c r="E46" s="87">
        <v>0</v>
      </c>
      <c r="F46" s="88">
        <v>-4.3478260869567198E-4</v>
      </c>
      <c r="G46" s="87">
        <v>0</v>
      </c>
      <c r="H46" s="87">
        <v>0</v>
      </c>
      <c r="I46" s="87">
        <v>0</v>
      </c>
    </row>
    <row r="47" spans="1:9" ht="15" customHeight="1" x14ac:dyDescent="0.25">
      <c r="A47" s="5">
        <v>45834</v>
      </c>
      <c r="B47" s="86">
        <v>0</v>
      </c>
      <c r="C47" s="86">
        <v>0</v>
      </c>
      <c r="D47" s="86">
        <v>0</v>
      </c>
      <c r="E47" s="86">
        <v>0</v>
      </c>
      <c r="F47" s="90">
        <v>4.3497172683770703E-4</v>
      </c>
      <c r="G47" s="86">
        <v>0</v>
      </c>
      <c r="H47" s="86">
        <v>0</v>
      </c>
      <c r="I47" s="86">
        <v>0</v>
      </c>
    </row>
    <row r="48" spans="1:9" ht="15" customHeight="1" x14ac:dyDescent="0.25">
      <c r="A48" s="8">
        <v>45837</v>
      </c>
      <c r="B48" s="87">
        <v>0</v>
      </c>
      <c r="C48" s="87">
        <v>0</v>
      </c>
      <c r="D48" s="87">
        <v>0</v>
      </c>
      <c r="E48" s="87">
        <v>0</v>
      </c>
      <c r="F48" s="87">
        <v>0</v>
      </c>
      <c r="G48" s="87">
        <v>0</v>
      </c>
      <c r="H48" s="87">
        <v>0</v>
      </c>
      <c r="I48" s="87">
        <v>0</v>
      </c>
    </row>
    <row r="49" spans="1:9" ht="15" customHeight="1" x14ac:dyDescent="0.25">
      <c r="A49" s="5">
        <v>45839</v>
      </c>
      <c r="B49" s="86">
        <v>0</v>
      </c>
      <c r="C49" s="86">
        <v>0</v>
      </c>
      <c r="D49" s="86">
        <v>0</v>
      </c>
      <c r="E49" s="86">
        <v>0</v>
      </c>
      <c r="F49" s="86">
        <v>0</v>
      </c>
      <c r="G49" s="86">
        <v>0</v>
      </c>
      <c r="H49" s="86">
        <v>0</v>
      </c>
      <c r="I49" s="86">
        <v>0</v>
      </c>
    </row>
    <row r="50" spans="1:9" ht="15" customHeight="1" x14ac:dyDescent="0.25">
      <c r="A50" s="8">
        <v>45841</v>
      </c>
      <c r="B50" s="87">
        <v>0</v>
      </c>
      <c r="C50" s="87">
        <v>0</v>
      </c>
      <c r="D50" s="91">
        <v>1.32867132867134E-2</v>
      </c>
      <c r="E50" s="87">
        <v>0</v>
      </c>
      <c r="F50" s="87">
        <v>0</v>
      </c>
      <c r="G50" s="87">
        <v>0</v>
      </c>
      <c r="H50" s="87">
        <v>0</v>
      </c>
      <c r="I50" s="87">
        <v>0</v>
      </c>
    </row>
    <row r="51" spans="1:9" ht="15" customHeight="1" x14ac:dyDescent="0.25">
      <c r="A51" s="5">
        <v>45845</v>
      </c>
      <c r="B51" s="86">
        <v>0</v>
      </c>
      <c r="C51" s="86">
        <v>0</v>
      </c>
      <c r="D51" s="86">
        <v>0</v>
      </c>
      <c r="E51" s="86">
        <v>0</v>
      </c>
      <c r="F51" s="86">
        <v>0</v>
      </c>
      <c r="G51" s="86">
        <v>0</v>
      </c>
      <c r="H51" s="86">
        <v>0</v>
      </c>
      <c r="I51" s="86">
        <v>0</v>
      </c>
    </row>
    <row r="52" spans="1:9" ht="15" customHeight="1" x14ac:dyDescent="0.25">
      <c r="A52" s="8">
        <v>45846</v>
      </c>
      <c r="B52" s="87">
        <v>0</v>
      </c>
      <c r="C52" s="87">
        <v>0</v>
      </c>
      <c r="D52" s="91">
        <v>6.9013112491367302E-4</v>
      </c>
      <c r="E52" s="87">
        <v>0</v>
      </c>
      <c r="F52" s="87">
        <v>0</v>
      </c>
      <c r="G52" s="87">
        <v>0</v>
      </c>
      <c r="H52" s="87">
        <v>0</v>
      </c>
      <c r="I52" s="87">
        <v>0</v>
      </c>
    </row>
    <row r="53" spans="1:9" ht="15" customHeight="1" x14ac:dyDescent="0.25">
      <c r="A53" s="5">
        <v>45848</v>
      </c>
      <c r="B53" s="90">
        <v>1.42857142857142E-2</v>
      </c>
      <c r="C53" s="86">
        <v>0</v>
      </c>
      <c r="D53" s="86">
        <v>0</v>
      </c>
      <c r="E53" s="86">
        <v>0</v>
      </c>
      <c r="F53" s="86">
        <v>0</v>
      </c>
      <c r="G53" s="86">
        <v>0</v>
      </c>
      <c r="H53" s="86">
        <v>0</v>
      </c>
      <c r="I53" s="86">
        <v>0</v>
      </c>
    </row>
    <row r="54" spans="1:9" ht="15" customHeight="1" x14ac:dyDescent="0.25">
      <c r="A54" s="8">
        <v>45851</v>
      </c>
      <c r="B54" s="87">
        <v>0</v>
      </c>
      <c r="C54" s="87">
        <v>0</v>
      </c>
      <c r="D54" s="87">
        <v>0</v>
      </c>
      <c r="E54" s="87">
        <v>0</v>
      </c>
      <c r="F54" s="87">
        <v>0</v>
      </c>
      <c r="G54" s="87">
        <v>0</v>
      </c>
      <c r="H54" s="87">
        <v>0</v>
      </c>
      <c r="I54" s="87">
        <v>0</v>
      </c>
    </row>
    <row r="55" spans="1:9" ht="15" customHeight="1" x14ac:dyDescent="0.25">
      <c r="A55" s="5">
        <v>45853</v>
      </c>
      <c r="B55" s="86">
        <v>0</v>
      </c>
      <c r="C55" s="86">
        <v>0</v>
      </c>
      <c r="D55" s="89">
        <v>-5.37931034482758E-2</v>
      </c>
      <c r="E55" s="86">
        <v>0</v>
      </c>
      <c r="F55" s="86">
        <v>0</v>
      </c>
      <c r="G55" s="86">
        <v>0</v>
      </c>
      <c r="H55" s="86">
        <v>0</v>
      </c>
      <c r="I55" s="86">
        <v>0</v>
      </c>
    </row>
    <row r="56" spans="1:9" ht="15" customHeight="1" x14ac:dyDescent="0.25">
      <c r="A56" s="8">
        <v>45855</v>
      </c>
      <c r="B56" s="87">
        <v>0</v>
      </c>
      <c r="C56" s="87">
        <v>0</v>
      </c>
      <c r="D56" s="91">
        <v>4.9562682215743302E-2</v>
      </c>
      <c r="E56" s="91">
        <v>2.0408163265306201E-2</v>
      </c>
      <c r="F56" s="87">
        <v>0</v>
      </c>
      <c r="G56" s="87">
        <v>0</v>
      </c>
      <c r="H56" s="91">
        <v>3.6269430051813399E-2</v>
      </c>
      <c r="I56" s="87">
        <v>0</v>
      </c>
    </row>
    <row r="57" spans="1:9" ht="15" customHeight="1" x14ac:dyDescent="0.25">
      <c r="A57" s="5">
        <v>45858</v>
      </c>
      <c r="B57" s="86">
        <v>0</v>
      </c>
      <c r="C57" s="86">
        <v>0</v>
      </c>
      <c r="D57" s="90">
        <v>6.9444444444444198E-3</v>
      </c>
      <c r="E57" s="86">
        <v>0</v>
      </c>
      <c r="F57" s="86">
        <v>0</v>
      </c>
      <c r="G57" s="86">
        <v>0</v>
      </c>
      <c r="H57" s="86">
        <v>0</v>
      </c>
      <c r="I57" s="86">
        <v>0</v>
      </c>
    </row>
    <row r="58" spans="1:9" ht="15" customHeight="1" x14ac:dyDescent="0.25">
      <c r="A58" s="8">
        <v>45860</v>
      </c>
      <c r="B58" s="87">
        <v>0</v>
      </c>
      <c r="C58" s="87">
        <v>0</v>
      </c>
      <c r="D58" s="87">
        <v>0</v>
      </c>
      <c r="E58" s="88">
        <v>-1.6E-2</v>
      </c>
      <c r="F58" s="88">
        <v>-7.3913043478260904E-3</v>
      </c>
      <c r="G58" s="87">
        <v>0</v>
      </c>
      <c r="H58" s="87">
        <v>0</v>
      </c>
      <c r="I58" s="87">
        <v>0</v>
      </c>
    </row>
    <row r="59" spans="1:9" ht="15" customHeight="1" x14ac:dyDescent="0.25">
      <c r="A59" s="5">
        <v>45862</v>
      </c>
      <c r="B59" s="86">
        <v>0</v>
      </c>
      <c r="C59" s="86">
        <v>0</v>
      </c>
      <c r="D59" s="89">
        <v>-1.03448275862069E-2</v>
      </c>
      <c r="E59" s="90">
        <v>1.6260162601626101E-2</v>
      </c>
      <c r="F59" s="86">
        <v>0</v>
      </c>
      <c r="G59" s="86">
        <v>0</v>
      </c>
      <c r="H59" s="86">
        <v>0</v>
      </c>
      <c r="I59" s="86">
        <v>0</v>
      </c>
    </row>
    <row r="60" spans="1:9" ht="15" customHeight="1" x14ac:dyDescent="0.25">
      <c r="A60" s="8">
        <v>45865</v>
      </c>
      <c r="B60" s="87">
        <v>0</v>
      </c>
      <c r="C60" s="87">
        <v>0</v>
      </c>
      <c r="D60" s="91">
        <v>3.4843205574912601E-3</v>
      </c>
      <c r="E60" s="87">
        <v>0</v>
      </c>
      <c r="F60" s="87">
        <v>0</v>
      </c>
      <c r="G60" s="87">
        <v>0</v>
      </c>
      <c r="H60" s="87">
        <v>0</v>
      </c>
      <c r="I60" s="87">
        <v>0</v>
      </c>
    </row>
    <row r="61" spans="1:9" ht="15" customHeight="1" x14ac:dyDescent="0.25">
      <c r="A61" s="5">
        <v>45867</v>
      </c>
      <c r="B61" s="86">
        <v>0</v>
      </c>
      <c r="C61" s="86">
        <v>0</v>
      </c>
      <c r="D61" s="89">
        <v>-6.9444444444444198E-3</v>
      </c>
      <c r="E61" s="86">
        <v>0</v>
      </c>
      <c r="F61" s="86">
        <v>0</v>
      </c>
      <c r="G61" s="86">
        <v>0</v>
      </c>
      <c r="H61" s="86">
        <v>0</v>
      </c>
      <c r="I61" s="86">
        <v>0</v>
      </c>
    </row>
    <row r="62" spans="1:9" ht="15" customHeight="1" x14ac:dyDescent="0.25">
      <c r="A62" s="8">
        <v>45869</v>
      </c>
      <c r="B62" s="88">
        <v>-8.2159624413145504E-2</v>
      </c>
      <c r="C62" s="87">
        <v>0</v>
      </c>
      <c r="D62" s="88">
        <v>-6.9930069930068705E-4</v>
      </c>
      <c r="E62" s="87">
        <v>0</v>
      </c>
      <c r="F62" s="87">
        <v>0</v>
      </c>
      <c r="G62" s="87">
        <v>0</v>
      </c>
      <c r="H62" s="87">
        <v>0</v>
      </c>
      <c r="I62" s="87">
        <v>0</v>
      </c>
    </row>
    <row r="63" spans="1:9" ht="15" customHeight="1" x14ac:dyDescent="0.25">
      <c r="A63" s="5">
        <v>45872</v>
      </c>
      <c r="B63" s="86">
        <v>0</v>
      </c>
      <c r="C63" s="86">
        <v>0</v>
      </c>
      <c r="D63" s="89">
        <v>-6.9979006298115398E-4</v>
      </c>
      <c r="E63" s="86">
        <v>0</v>
      </c>
      <c r="F63" s="86">
        <v>0</v>
      </c>
      <c r="G63" s="86">
        <v>0</v>
      </c>
      <c r="H63" s="86">
        <v>0</v>
      </c>
      <c r="I63" s="86">
        <v>0</v>
      </c>
    </row>
    <row r="64" spans="1:9" ht="15" customHeight="1" x14ac:dyDescent="0.25">
      <c r="A64" s="8">
        <v>45874</v>
      </c>
      <c r="B64" s="91">
        <v>9.9744245524296699E-2</v>
      </c>
      <c r="C64" s="87">
        <v>0</v>
      </c>
      <c r="D64" s="88">
        <v>-9.1036414565826007E-3</v>
      </c>
      <c r="E64" s="87">
        <v>0</v>
      </c>
      <c r="F64" s="88">
        <v>-1.3140604467805101E-3</v>
      </c>
      <c r="G64" s="87">
        <v>0</v>
      </c>
      <c r="H64" s="87">
        <v>0</v>
      </c>
      <c r="I64" s="87">
        <v>0</v>
      </c>
    </row>
    <row r="65" spans="1:9" ht="15" customHeight="1" x14ac:dyDescent="0.25">
      <c r="A65" s="5">
        <v>45876</v>
      </c>
      <c r="B65" s="86">
        <v>0</v>
      </c>
      <c r="C65" s="86">
        <v>0</v>
      </c>
      <c r="D65" s="89">
        <v>-1.06007067137809E-2</v>
      </c>
      <c r="E65" s="86">
        <v>0</v>
      </c>
      <c r="F65" s="90">
        <v>1.31578947368416E-3</v>
      </c>
      <c r="G65" s="86">
        <v>0</v>
      </c>
      <c r="H65" s="86">
        <v>0</v>
      </c>
      <c r="I65" s="86">
        <v>0</v>
      </c>
    </row>
    <row r="66" spans="1:9" ht="15" customHeight="1" x14ac:dyDescent="0.25">
      <c r="A66" s="8">
        <v>45879</v>
      </c>
      <c r="B66" s="87">
        <v>0</v>
      </c>
      <c r="C66" s="87">
        <v>0</v>
      </c>
      <c r="D66" s="91">
        <v>1.42857142857142E-2</v>
      </c>
      <c r="E66" s="87">
        <v>0</v>
      </c>
      <c r="F66" s="87">
        <v>0</v>
      </c>
      <c r="G66" s="87">
        <v>0</v>
      </c>
      <c r="H66" s="87">
        <v>0</v>
      </c>
      <c r="I66" s="88">
        <v>-5.1851851851851802E-2</v>
      </c>
    </row>
    <row r="67" spans="1:9" ht="15" customHeight="1" x14ac:dyDescent="0.25">
      <c r="A67" s="5">
        <v>45881</v>
      </c>
      <c r="B67" s="86">
        <v>0</v>
      </c>
      <c r="C67" s="86">
        <v>0</v>
      </c>
      <c r="D67" s="89">
        <v>-7.0422535211267501E-4</v>
      </c>
      <c r="E67" s="86">
        <v>0</v>
      </c>
      <c r="F67" s="86">
        <v>0</v>
      </c>
      <c r="G67" s="86">
        <v>0</v>
      </c>
      <c r="H67" s="86">
        <v>0</v>
      </c>
      <c r="I67" s="86">
        <v>0</v>
      </c>
    </row>
    <row r="68" spans="1:9" ht="15" customHeight="1" x14ac:dyDescent="0.25">
      <c r="A68" s="8">
        <v>45883</v>
      </c>
      <c r="B68" s="87">
        <v>0</v>
      </c>
      <c r="C68" s="87">
        <v>0</v>
      </c>
      <c r="D68" s="88">
        <v>-7.0472163495416396E-4</v>
      </c>
      <c r="E68" s="87">
        <v>0</v>
      </c>
      <c r="F68" s="88">
        <v>-8.7604029785370895E-4</v>
      </c>
      <c r="G68" s="87">
        <v>0</v>
      </c>
      <c r="H68" s="87">
        <v>0</v>
      </c>
      <c r="I68" s="87">
        <v>0</v>
      </c>
    </row>
    <row r="69" spans="1:9" ht="15" customHeight="1" x14ac:dyDescent="0.25">
      <c r="A69" s="5">
        <v>45886</v>
      </c>
      <c r="B69" s="86">
        <v>0</v>
      </c>
      <c r="C69" s="86">
        <v>0</v>
      </c>
      <c r="D69" s="89">
        <v>-2.8208744710860301E-3</v>
      </c>
      <c r="E69" s="86">
        <v>0</v>
      </c>
      <c r="F69" s="90">
        <v>8.7680841736070803E-4</v>
      </c>
      <c r="G69" s="86">
        <v>0</v>
      </c>
      <c r="H69" s="86">
        <v>0</v>
      </c>
      <c r="I69" s="86">
        <v>0</v>
      </c>
    </row>
    <row r="70" spans="1:9" ht="15" customHeight="1" x14ac:dyDescent="0.25">
      <c r="A70" s="8">
        <v>45888</v>
      </c>
      <c r="B70" s="87">
        <v>0</v>
      </c>
      <c r="C70" s="87">
        <v>0</v>
      </c>
      <c r="D70" s="88">
        <v>-9.9009900990099098E-3</v>
      </c>
      <c r="E70" s="87">
        <v>0</v>
      </c>
      <c r="F70" s="88">
        <v>-8.7604029785370895E-4</v>
      </c>
      <c r="G70" s="87">
        <v>0</v>
      </c>
      <c r="H70" s="87">
        <v>0</v>
      </c>
      <c r="I70" s="87">
        <v>0</v>
      </c>
    </row>
    <row r="71" spans="1:9" ht="15" customHeight="1" x14ac:dyDescent="0.25">
      <c r="A71" s="5">
        <v>45890</v>
      </c>
      <c r="B71" s="86">
        <v>0</v>
      </c>
      <c r="C71" s="86">
        <v>0</v>
      </c>
      <c r="D71" s="86">
        <v>0</v>
      </c>
      <c r="E71" s="86">
        <v>0</v>
      </c>
      <c r="F71" s="86">
        <v>0</v>
      </c>
      <c r="G71" s="86">
        <v>0</v>
      </c>
      <c r="H71" s="86">
        <v>0</v>
      </c>
      <c r="I71" s="86">
        <v>0</v>
      </c>
    </row>
    <row r="72" spans="1:9" ht="15" customHeight="1" x14ac:dyDescent="0.25">
      <c r="A72" s="8">
        <v>45893</v>
      </c>
      <c r="B72" s="87">
        <v>0</v>
      </c>
      <c r="C72" s="87">
        <v>0</v>
      </c>
      <c r="D72" s="91">
        <v>1.0714285714285701E-2</v>
      </c>
      <c r="E72" s="87">
        <v>0</v>
      </c>
      <c r="F72" s="91">
        <v>8.7680841736070803E-4</v>
      </c>
      <c r="G72" s="87">
        <v>0</v>
      </c>
      <c r="H72" s="87">
        <v>0</v>
      </c>
      <c r="I72" s="87">
        <v>0</v>
      </c>
    </row>
    <row r="73" spans="1:9" ht="15" customHeight="1" x14ac:dyDescent="0.25">
      <c r="A73" s="5">
        <v>45895</v>
      </c>
      <c r="B73" s="86">
        <v>0</v>
      </c>
      <c r="C73" s="86">
        <v>0</v>
      </c>
      <c r="D73" s="89">
        <v>-4.2402826855123497E-3</v>
      </c>
      <c r="E73" s="86">
        <v>0</v>
      </c>
      <c r="F73" s="89">
        <v>-8.7604029785370895E-4</v>
      </c>
      <c r="G73" s="86">
        <v>0</v>
      </c>
      <c r="H73" s="86">
        <v>0</v>
      </c>
      <c r="I73" s="86">
        <v>0</v>
      </c>
    </row>
    <row r="74" spans="1:9" ht="15" customHeight="1" x14ac:dyDescent="0.25">
      <c r="A74" s="8">
        <v>45897</v>
      </c>
      <c r="B74" s="87">
        <v>0</v>
      </c>
      <c r="C74" s="87">
        <v>0</v>
      </c>
      <c r="D74" s="91">
        <v>3.5486160397444301E-3</v>
      </c>
      <c r="E74" s="87">
        <v>0</v>
      </c>
      <c r="F74" s="88">
        <v>-4.3840420868035402E-4</v>
      </c>
      <c r="G74" s="87">
        <v>0</v>
      </c>
      <c r="H74" s="87">
        <v>0</v>
      </c>
      <c r="I74" s="87">
        <v>0</v>
      </c>
    </row>
    <row r="75" spans="1:9" ht="15" customHeight="1" x14ac:dyDescent="0.25">
      <c r="A75" s="5">
        <v>45900</v>
      </c>
      <c r="B75" s="86">
        <v>0</v>
      </c>
      <c r="C75" s="86">
        <v>0</v>
      </c>
      <c r="D75" s="89">
        <v>-3.5360678925034899E-3</v>
      </c>
      <c r="E75" s="89">
        <v>-6.4000000000000001E-2</v>
      </c>
      <c r="F75" s="86">
        <v>0</v>
      </c>
      <c r="G75" s="86">
        <v>0</v>
      </c>
      <c r="H75" s="86">
        <v>0</v>
      </c>
      <c r="I75" s="86">
        <v>0</v>
      </c>
    </row>
    <row r="76" spans="1:9" ht="15" customHeight="1" x14ac:dyDescent="0.25">
      <c r="A76" s="8">
        <v>45902</v>
      </c>
      <c r="B76" s="87">
        <v>0</v>
      </c>
      <c r="C76" s="87">
        <v>0</v>
      </c>
      <c r="D76" s="91">
        <v>4.25833924769337E-3</v>
      </c>
      <c r="E76" s="87">
        <v>0</v>
      </c>
      <c r="F76" s="88">
        <v>-8.7719298245614297E-4</v>
      </c>
      <c r="G76" s="87">
        <v>0</v>
      </c>
      <c r="H76" s="87">
        <v>0</v>
      </c>
      <c r="I76" s="87">
        <v>0</v>
      </c>
    </row>
    <row r="77" spans="1:9" ht="15" customHeight="1" x14ac:dyDescent="0.25">
      <c r="A77" s="5">
        <v>45904</v>
      </c>
      <c r="B77" s="90">
        <v>4.6511627906977698E-3</v>
      </c>
      <c r="C77" s="86">
        <v>0</v>
      </c>
      <c r="D77" s="86">
        <v>0</v>
      </c>
      <c r="E77" s="86">
        <v>0</v>
      </c>
      <c r="F77" s="89">
        <v>-4.3898156277433198E-4</v>
      </c>
      <c r="G77" s="86">
        <v>0</v>
      </c>
      <c r="H77" s="86">
        <v>0</v>
      </c>
      <c r="I77" s="90">
        <v>1.8229166666666699E-2</v>
      </c>
    </row>
    <row r="78" spans="1:9" ht="15" customHeight="1" x14ac:dyDescent="0.25">
      <c r="A78" s="8">
        <v>45907</v>
      </c>
      <c r="B78" s="87">
        <v>0</v>
      </c>
      <c r="C78" s="87">
        <v>0</v>
      </c>
      <c r="D78" s="87">
        <v>0</v>
      </c>
      <c r="E78" s="87">
        <v>0</v>
      </c>
      <c r="F78" s="87">
        <v>0</v>
      </c>
      <c r="G78" s="87">
        <v>0</v>
      </c>
      <c r="H78" s="87">
        <v>0</v>
      </c>
      <c r="I78" s="88">
        <v>-1.7902813299232701E-2</v>
      </c>
    </row>
    <row r="79" spans="1:9" ht="15" customHeight="1" x14ac:dyDescent="0.25">
      <c r="A79" s="5">
        <v>45909</v>
      </c>
      <c r="B79" s="86">
        <v>0</v>
      </c>
      <c r="C79" s="86">
        <v>0</v>
      </c>
      <c r="D79" s="89">
        <v>-4.2402826855123497E-3</v>
      </c>
      <c r="E79" s="86">
        <v>0</v>
      </c>
      <c r="F79" s="89">
        <v>-3.0742204655248599E-3</v>
      </c>
      <c r="G79" s="86">
        <v>0</v>
      </c>
      <c r="H79" s="86">
        <v>0</v>
      </c>
      <c r="I79" s="86">
        <v>0</v>
      </c>
    </row>
    <row r="80" spans="1:9" ht="15" customHeight="1" x14ac:dyDescent="0.25">
      <c r="A80" s="8">
        <v>45911</v>
      </c>
      <c r="B80" s="91">
        <v>4.1666666666666699E-2</v>
      </c>
      <c r="C80" s="87">
        <v>0</v>
      </c>
      <c r="D80" s="87">
        <v>0</v>
      </c>
      <c r="E80" s="91">
        <v>4.7008547008546798E-3</v>
      </c>
      <c r="F80" s="88">
        <v>-4.4052863436128099E-4</v>
      </c>
      <c r="G80" s="87">
        <v>0</v>
      </c>
      <c r="H80" s="87">
        <v>0</v>
      </c>
      <c r="I80" s="87">
        <v>0</v>
      </c>
    </row>
    <row r="81" spans="1:9" ht="15" customHeight="1" x14ac:dyDescent="0.25">
      <c r="A81" s="5">
        <v>45914</v>
      </c>
      <c r="B81" s="86">
        <v>0</v>
      </c>
      <c r="C81" s="86">
        <v>0</v>
      </c>
      <c r="D81" s="89">
        <v>-6.3875088715400503E-3</v>
      </c>
      <c r="E81" s="86">
        <v>0</v>
      </c>
      <c r="F81" s="86">
        <v>0</v>
      </c>
      <c r="G81" s="86">
        <v>0</v>
      </c>
      <c r="H81" s="86">
        <v>0</v>
      </c>
      <c r="I81" s="86">
        <v>0</v>
      </c>
    </row>
    <row r="82" spans="1:9" ht="15" customHeight="1" x14ac:dyDescent="0.25">
      <c r="A82" s="8">
        <v>45916</v>
      </c>
      <c r="B82" s="87">
        <v>0</v>
      </c>
      <c r="C82" s="87">
        <v>0</v>
      </c>
      <c r="D82" s="87">
        <v>0</v>
      </c>
      <c r="E82" s="87">
        <v>0</v>
      </c>
      <c r="F82" s="88">
        <v>-3.9665050683119797E-3</v>
      </c>
      <c r="G82" s="87">
        <v>0</v>
      </c>
      <c r="H82" s="87">
        <v>0</v>
      </c>
      <c r="I82" s="87">
        <v>0</v>
      </c>
    </row>
    <row r="83" spans="1:9" ht="15" customHeight="1" x14ac:dyDescent="0.25">
      <c r="A83" s="5">
        <v>45918</v>
      </c>
      <c r="B83" s="86">
        <v>0</v>
      </c>
      <c r="C83" s="86">
        <v>0</v>
      </c>
      <c r="D83" s="90">
        <v>6.4285714285714501E-3</v>
      </c>
      <c r="E83" s="86">
        <v>0</v>
      </c>
      <c r="F83" s="89">
        <v>-1.3716814159292099E-2</v>
      </c>
      <c r="G83" s="86">
        <v>0</v>
      </c>
      <c r="H83" s="86">
        <v>0</v>
      </c>
      <c r="I83" s="90">
        <v>2.6041666666667398E-3</v>
      </c>
    </row>
    <row r="84" spans="1:9" ht="15" customHeight="1" x14ac:dyDescent="0.25">
      <c r="A84" s="8">
        <v>45921</v>
      </c>
      <c r="B84" s="87">
        <v>0</v>
      </c>
      <c r="C84" s="87">
        <v>0</v>
      </c>
      <c r="D84" s="91">
        <v>7.0972320794893096E-4</v>
      </c>
      <c r="E84" s="87">
        <v>0</v>
      </c>
      <c r="F84" s="87">
        <v>0</v>
      </c>
      <c r="G84" s="87">
        <v>0</v>
      </c>
      <c r="H84" s="87">
        <v>0</v>
      </c>
      <c r="I84" s="87">
        <v>0</v>
      </c>
    </row>
    <row r="85" spans="1:9" ht="15" customHeight="1" x14ac:dyDescent="0.25">
      <c r="A85" s="5">
        <v>45923</v>
      </c>
      <c r="B85" s="86">
        <v>0</v>
      </c>
      <c r="C85" s="86">
        <v>0</v>
      </c>
      <c r="D85" s="86">
        <v>0</v>
      </c>
      <c r="E85" s="86">
        <v>0</v>
      </c>
      <c r="F85" s="86">
        <v>0</v>
      </c>
      <c r="G85" s="86">
        <v>0</v>
      </c>
      <c r="H85" s="86">
        <v>0</v>
      </c>
      <c r="I85" s="90">
        <v>3.8961038961038898E-2</v>
      </c>
    </row>
    <row r="86" spans="1:9" ht="15" customHeight="1" x14ac:dyDescent="0.25">
      <c r="A86" s="8">
        <v>45925</v>
      </c>
      <c r="B86" s="87">
        <v>0</v>
      </c>
      <c r="C86" s="87">
        <v>0</v>
      </c>
      <c r="D86" s="87">
        <v>0</v>
      </c>
      <c r="E86" s="87">
        <v>0</v>
      </c>
      <c r="F86" s="88">
        <v>-4.9798115746971697E-2</v>
      </c>
      <c r="G86" s="87">
        <v>0</v>
      </c>
      <c r="H86" s="88">
        <v>-0.1</v>
      </c>
      <c r="I86" s="87">
        <v>0</v>
      </c>
    </row>
    <row r="87" spans="1:9" ht="15" customHeight="1" x14ac:dyDescent="0.25">
      <c r="A87" s="5">
        <v>45928</v>
      </c>
      <c r="B87" s="86">
        <v>0</v>
      </c>
      <c r="C87" s="86">
        <v>0</v>
      </c>
      <c r="D87" s="90">
        <v>3.5460992907800901E-3</v>
      </c>
      <c r="E87" s="86">
        <v>0</v>
      </c>
      <c r="F87" s="86">
        <v>0</v>
      </c>
      <c r="G87" s="86">
        <v>0</v>
      </c>
      <c r="H87" s="86">
        <v>0</v>
      </c>
      <c r="I87" s="86">
        <v>0</v>
      </c>
    </row>
    <row r="88" spans="1:9" ht="15" customHeight="1" x14ac:dyDescent="0.25">
      <c r="A88" s="8">
        <v>45930</v>
      </c>
      <c r="B88" s="87">
        <v>0</v>
      </c>
      <c r="C88" s="88">
        <v>-6.8493150684931798E-3</v>
      </c>
      <c r="D88" s="87">
        <v>0</v>
      </c>
      <c r="E88" s="91">
        <v>4.63632496809867E-2</v>
      </c>
      <c r="F88" s="88">
        <v>-2.3607176581680301E-3</v>
      </c>
      <c r="G88" s="87">
        <v>0</v>
      </c>
      <c r="H88" s="87">
        <v>0</v>
      </c>
      <c r="I88" s="87">
        <v>0</v>
      </c>
    </row>
    <row r="89" spans="1:9" ht="15" customHeight="1" x14ac:dyDescent="0.25">
      <c r="A89" s="5">
        <v>45932</v>
      </c>
      <c r="B89" s="86">
        <v>0</v>
      </c>
      <c r="C89" s="86">
        <v>0</v>
      </c>
      <c r="D89" s="86">
        <v>0</v>
      </c>
      <c r="E89" s="86">
        <v>0</v>
      </c>
      <c r="F89" s="89">
        <v>-8.5186938002839198E-3</v>
      </c>
      <c r="G89" s="86">
        <v>0</v>
      </c>
      <c r="H89" s="86">
        <v>0</v>
      </c>
      <c r="I89" s="86">
        <v>0</v>
      </c>
    </row>
    <row r="90" spans="1:9" ht="15" customHeight="1" x14ac:dyDescent="0.25">
      <c r="A90" s="8">
        <v>45935</v>
      </c>
      <c r="B90" s="87">
        <v>0</v>
      </c>
      <c r="C90" s="87">
        <v>0</v>
      </c>
      <c r="D90" s="87">
        <v>0</v>
      </c>
      <c r="E90" s="87">
        <v>0</v>
      </c>
      <c r="F90" s="88">
        <v>-2.3866348448687898E-3</v>
      </c>
      <c r="G90" s="87">
        <v>0</v>
      </c>
      <c r="H90" s="87">
        <v>0</v>
      </c>
      <c r="I90" s="87">
        <v>0</v>
      </c>
    </row>
    <row r="91" spans="1:9" ht="15" customHeight="1" x14ac:dyDescent="0.25">
      <c r="A91" s="5">
        <v>45937</v>
      </c>
      <c r="B91" s="86">
        <v>0</v>
      </c>
      <c r="C91" s="86">
        <v>0</v>
      </c>
      <c r="D91" s="90">
        <v>3.5335689045936699E-3</v>
      </c>
      <c r="E91" s="86">
        <v>0</v>
      </c>
      <c r="F91" s="89">
        <v>-4.3062200956937802E-2</v>
      </c>
      <c r="G91" s="86">
        <v>0</v>
      </c>
      <c r="H91" s="86">
        <v>0</v>
      </c>
      <c r="I91" s="89">
        <v>-3.7499999999999999E-2</v>
      </c>
    </row>
    <row r="92" spans="1:9" ht="15" customHeight="1" x14ac:dyDescent="0.25">
      <c r="A92" s="8">
        <v>45939</v>
      </c>
      <c r="B92" s="87">
        <v>0</v>
      </c>
      <c r="C92" s="87">
        <v>0</v>
      </c>
      <c r="D92" s="87">
        <v>0</v>
      </c>
      <c r="E92" s="87">
        <v>0</v>
      </c>
      <c r="F92" s="87">
        <v>0</v>
      </c>
      <c r="G92" s="87">
        <v>0</v>
      </c>
      <c r="H92" s="87">
        <v>0</v>
      </c>
      <c r="I92" s="87">
        <v>0</v>
      </c>
    </row>
    <row r="93" spans="1:9" ht="15" customHeight="1" x14ac:dyDescent="0.25">
      <c r="A93" s="5">
        <v>45942</v>
      </c>
      <c r="B93" s="86">
        <v>0</v>
      </c>
      <c r="C93" s="86">
        <v>0</v>
      </c>
      <c r="D93" s="89">
        <v>-7.0422535211267503E-3</v>
      </c>
      <c r="E93" s="86">
        <v>0</v>
      </c>
      <c r="F93" s="90">
        <v>3.4999999999999899E-2</v>
      </c>
      <c r="G93" s="86">
        <v>0</v>
      </c>
      <c r="H93" s="86">
        <v>0</v>
      </c>
      <c r="I93" s="90">
        <v>3.8961038961038898E-2</v>
      </c>
    </row>
    <row r="94" spans="1:9" ht="15" customHeight="1" x14ac:dyDescent="0.25">
      <c r="A94" s="8">
        <v>45944</v>
      </c>
      <c r="B94" s="87">
        <v>0</v>
      </c>
      <c r="C94" s="87">
        <v>0</v>
      </c>
      <c r="D94" s="88">
        <v>-7.0921985815602896E-3</v>
      </c>
      <c r="E94" s="87">
        <v>0</v>
      </c>
      <c r="F94" s="87">
        <v>0</v>
      </c>
      <c r="G94" s="87">
        <v>0</v>
      </c>
      <c r="H94" s="87">
        <v>0</v>
      </c>
      <c r="I94" s="87">
        <v>0</v>
      </c>
    </row>
    <row r="95" spans="1:9" ht="15" customHeight="1" x14ac:dyDescent="0.25">
      <c r="A95" s="5">
        <v>45946</v>
      </c>
      <c r="B95" s="86">
        <v>0</v>
      </c>
      <c r="C95" s="86">
        <v>0</v>
      </c>
      <c r="D95" s="90">
        <v>7.1428571428571201E-3</v>
      </c>
      <c r="E95" s="86">
        <v>0</v>
      </c>
      <c r="F95" s="90">
        <v>4.9758454106280103E-2</v>
      </c>
      <c r="G95" s="86">
        <v>0</v>
      </c>
      <c r="H95" s="86">
        <v>0</v>
      </c>
      <c r="I95" s="86">
        <v>0</v>
      </c>
    </row>
    <row r="96" spans="1:9" ht="15" customHeight="1" x14ac:dyDescent="0.25">
      <c r="A96" s="8">
        <v>45949</v>
      </c>
      <c r="B96" s="87">
        <v>0</v>
      </c>
      <c r="C96" s="87">
        <v>0</v>
      </c>
      <c r="D96" s="87">
        <v>0</v>
      </c>
      <c r="E96" s="87">
        <v>0</v>
      </c>
      <c r="F96" s="91">
        <v>3.5434882650713401E-2</v>
      </c>
      <c r="G96" s="87">
        <v>0</v>
      </c>
      <c r="H96" s="87">
        <v>0</v>
      </c>
      <c r="I96" s="87">
        <v>0</v>
      </c>
    </row>
    <row r="97" spans="1:9" ht="15" customHeight="1" x14ac:dyDescent="0.25">
      <c r="A97" s="5">
        <v>45951</v>
      </c>
      <c r="B97" s="86">
        <v>0</v>
      </c>
      <c r="C97" s="86">
        <v>0</v>
      </c>
      <c r="D97" s="86">
        <v>0</v>
      </c>
      <c r="E97" s="86">
        <v>0</v>
      </c>
      <c r="F97" s="86">
        <v>0</v>
      </c>
      <c r="G97" s="89">
        <v>-0.05</v>
      </c>
      <c r="H97" s="86">
        <v>0</v>
      </c>
      <c r="I97" s="86">
        <v>0</v>
      </c>
    </row>
    <row r="98" spans="1:9" ht="15" customHeight="1" x14ac:dyDescent="0.25">
      <c r="A98" s="8">
        <v>45953</v>
      </c>
      <c r="B98" s="87">
        <v>0</v>
      </c>
      <c r="C98" s="87">
        <v>0</v>
      </c>
      <c r="D98" s="87">
        <v>0</v>
      </c>
      <c r="E98" s="87">
        <v>0</v>
      </c>
      <c r="F98" s="91">
        <v>4.4444444444444696E-3</v>
      </c>
      <c r="G98" s="87">
        <v>0</v>
      </c>
      <c r="H98" s="87">
        <v>0</v>
      </c>
      <c r="I98" s="87">
        <v>0</v>
      </c>
    </row>
    <row r="99" spans="1:9" ht="15" customHeight="1" x14ac:dyDescent="0.25">
      <c r="A99" s="5">
        <v>45956</v>
      </c>
      <c r="B99" s="86">
        <v>0</v>
      </c>
      <c r="C99" s="86">
        <v>0</v>
      </c>
      <c r="D99" s="86">
        <v>0</v>
      </c>
      <c r="E99" s="86">
        <v>0</v>
      </c>
      <c r="F99" s="90">
        <v>2.2123893805310298E-3</v>
      </c>
      <c r="G99" s="86">
        <v>0</v>
      </c>
      <c r="H99" s="86">
        <v>0</v>
      </c>
      <c r="I99" s="86">
        <v>0</v>
      </c>
    </row>
    <row r="100" spans="1:9" ht="15" customHeight="1" x14ac:dyDescent="0.25">
      <c r="A100" s="8">
        <v>45958</v>
      </c>
      <c r="B100" s="87">
        <v>0</v>
      </c>
      <c r="C100" s="87">
        <v>0</v>
      </c>
      <c r="D100" s="87">
        <v>0</v>
      </c>
      <c r="E100" s="87">
        <v>0</v>
      </c>
      <c r="F100" s="91">
        <v>1.3245033112582899E-2</v>
      </c>
      <c r="G100" s="87">
        <v>0</v>
      </c>
      <c r="H100" s="87">
        <v>0</v>
      </c>
      <c r="I100" s="87">
        <v>0</v>
      </c>
    </row>
    <row r="101" spans="1:9" ht="15" customHeight="1" x14ac:dyDescent="0.25">
      <c r="A101" s="5">
        <v>45960</v>
      </c>
      <c r="B101" s="86">
        <v>0</v>
      </c>
      <c r="C101" s="86">
        <v>0</v>
      </c>
      <c r="D101" s="86">
        <v>0</v>
      </c>
      <c r="E101" s="86">
        <v>0</v>
      </c>
      <c r="F101" s="90">
        <v>2.1786492374726899E-3</v>
      </c>
      <c r="G101" s="86">
        <v>0</v>
      </c>
      <c r="H101" s="90">
        <v>9.7222222222222293E-2</v>
      </c>
      <c r="I101" s="89">
        <v>-3.7499999999999999E-2</v>
      </c>
    </row>
    <row r="102" spans="1:9" ht="15" customHeight="1" x14ac:dyDescent="0.25">
      <c r="A102" s="8">
        <v>45963</v>
      </c>
      <c r="B102" s="87">
        <v>0</v>
      </c>
      <c r="C102" s="87">
        <v>0</v>
      </c>
      <c r="D102" s="87">
        <v>0</v>
      </c>
      <c r="E102" s="87">
        <v>0</v>
      </c>
      <c r="F102" s="87">
        <v>0</v>
      </c>
      <c r="G102" s="87">
        <v>0</v>
      </c>
      <c r="H102" s="87">
        <v>0</v>
      </c>
      <c r="I102" s="87">
        <v>0</v>
      </c>
    </row>
    <row r="103" spans="1:9" ht="15" customHeight="1" x14ac:dyDescent="0.25">
      <c r="A103" s="5">
        <v>45965</v>
      </c>
      <c r="B103" s="86">
        <v>0</v>
      </c>
      <c r="C103" s="86">
        <v>0</v>
      </c>
      <c r="D103" s="86">
        <v>0</v>
      </c>
      <c r="E103" s="90">
        <v>1.6260162601626101E-2</v>
      </c>
      <c r="F103" s="86">
        <v>0</v>
      </c>
      <c r="G103" s="86">
        <v>0</v>
      </c>
      <c r="H103" s="86">
        <v>0</v>
      </c>
      <c r="I103" s="86">
        <v>0</v>
      </c>
    </row>
    <row r="104" spans="1:9" ht="15" customHeight="1" x14ac:dyDescent="0.25">
      <c r="A104" s="8">
        <v>45967</v>
      </c>
      <c r="B104" s="87">
        <v>0</v>
      </c>
      <c r="C104" s="87">
        <v>0</v>
      </c>
      <c r="D104" s="88">
        <v>-4.2553191489361798E-3</v>
      </c>
      <c r="E104" s="91">
        <v>3.99999999999956E-4</v>
      </c>
      <c r="F104" s="87">
        <v>0</v>
      </c>
      <c r="G104" s="87">
        <v>0</v>
      </c>
      <c r="H104" s="88">
        <v>-7.5949367088607597E-2</v>
      </c>
      <c r="I104" s="87">
        <v>0</v>
      </c>
    </row>
    <row r="105" spans="1:9" ht="15" customHeight="1" x14ac:dyDescent="0.25">
      <c r="A105" s="5">
        <v>45970</v>
      </c>
      <c r="B105" s="86">
        <v>0</v>
      </c>
      <c r="C105" s="86">
        <v>0</v>
      </c>
      <c r="D105" s="89">
        <v>-2.8490028490028001E-3</v>
      </c>
      <c r="E105" s="86">
        <v>0</v>
      </c>
      <c r="F105" s="86">
        <v>0</v>
      </c>
      <c r="G105" s="89">
        <v>-0.05</v>
      </c>
      <c r="H105" s="86">
        <v>0</v>
      </c>
      <c r="I105" s="86">
        <v>0</v>
      </c>
    </row>
    <row r="106" spans="1:9" ht="15" customHeight="1" x14ac:dyDescent="0.25">
      <c r="A106" s="8">
        <v>45972</v>
      </c>
      <c r="B106" s="87">
        <v>0</v>
      </c>
      <c r="C106" s="87">
        <v>0</v>
      </c>
      <c r="D106" s="87">
        <v>0</v>
      </c>
      <c r="E106" s="87">
        <v>0</v>
      </c>
      <c r="F106" s="88">
        <v>-4.3478260869567198E-4</v>
      </c>
      <c r="G106" s="87">
        <v>0</v>
      </c>
      <c r="H106" s="87">
        <v>0</v>
      </c>
      <c r="I106" s="91">
        <v>3.8961038961038898E-2</v>
      </c>
    </row>
    <row r="107" spans="1:9" ht="15" customHeight="1" x14ac:dyDescent="0.25">
      <c r="A107" s="5">
        <v>45974</v>
      </c>
      <c r="B107" s="86">
        <v>0</v>
      </c>
      <c r="C107" s="86">
        <v>0</v>
      </c>
      <c r="D107" s="86">
        <v>0</v>
      </c>
      <c r="E107" s="86">
        <v>0</v>
      </c>
      <c r="F107" s="86">
        <v>0</v>
      </c>
      <c r="G107" s="86">
        <v>0</v>
      </c>
      <c r="H107" s="86">
        <v>0</v>
      </c>
      <c r="I107" s="86">
        <v>0</v>
      </c>
    </row>
    <row r="108" spans="1:9" ht="15" customHeight="1" x14ac:dyDescent="0.25">
      <c r="A108" s="8">
        <v>45977</v>
      </c>
      <c r="B108" s="87">
        <v>0</v>
      </c>
      <c r="C108" s="87">
        <v>0</v>
      </c>
      <c r="D108" s="87">
        <v>0</v>
      </c>
      <c r="E108" s="88">
        <v>-3.99840063974422E-4</v>
      </c>
      <c r="F108" s="91">
        <v>4.3497172683770703E-4</v>
      </c>
      <c r="G108" s="87">
        <v>0</v>
      </c>
      <c r="H108" s="87">
        <v>0</v>
      </c>
      <c r="I108" s="87">
        <v>0</v>
      </c>
    </row>
    <row r="109" spans="1:9" ht="15" customHeight="1" x14ac:dyDescent="0.25">
      <c r="A109" s="5">
        <v>45979</v>
      </c>
      <c r="B109" s="86">
        <v>0</v>
      </c>
      <c r="C109" s="86">
        <v>0</v>
      </c>
      <c r="D109" s="86">
        <v>0</v>
      </c>
      <c r="E109" s="86">
        <v>0</v>
      </c>
      <c r="F109" s="86">
        <v>0</v>
      </c>
      <c r="G109" s="86">
        <v>0</v>
      </c>
      <c r="H109" s="86">
        <v>0</v>
      </c>
      <c r="I109" s="86">
        <v>0</v>
      </c>
    </row>
    <row r="110" spans="1:9" ht="15" customHeight="1" x14ac:dyDescent="0.25">
      <c r="A110" s="8">
        <v>45981</v>
      </c>
      <c r="B110" s="87">
        <v>0</v>
      </c>
      <c r="C110" s="87">
        <v>0</v>
      </c>
      <c r="D110" s="87">
        <v>0</v>
      </c>
      <c r="E110" s="87">
        <v>0</v>
      </c>
      <c r="F110" s="87">
        <v>0</v>
      </c>
      <c r="G110" s="87">
        <v>0</v>
      </c>
      <c r="H110" s="87">
        <v>0</v>
      </c>
      <c r="I110" s="87">
        <v>0</v>
      </c>
    </row>
    <row r="111" spans="1:9" ht="15" customHeight="1" x14ac:dyDescent="0.25">
      <c r="A111" s="5">
        <v>45984</v>
      </c>
      <c r="B111" s="86">
        <v>0</v>
      </c>
      <c r="C111" s="86">
        <v>0</v>
      </c>
      <c r="D111" s="86">
        <v>0</v>
      </c>
      <c r="E111" s="86">
        <v>0</v>
      </c>
      <c r="F111" s="86">
        <v>0</v>
      </c>
      <c r="G111" s="86">
        <v>0</v>
      </c>
      <c r="H111" s="86">
        <v>0</v>
      </c>
      <c r="I111" s="86">
        <v>0</v>
      </c>
    </row>
    <row r="112" spans="1:9" ht="15" customHeight="1" x14ac:dyDescent="0.25">
      <c r="A112" s="8">
        <v>45986</v>
      </c>
      <c r="B112" s="87">
        <v>0</v>
      </c>
      <c r="C112" s="87">
        <v>0</v>
      </c>
      <c r="D112" s="87">
        <v>0</v>
      </c>
      <c r="E112" s="87">
        <v>0</v>
      </c>
      <c r="F112" s="88">
        <v>-4.3478260869567198E-4</v>
      </c>
      <c r="G112" s="87">
        <v>0</v>
      </c>
      <c r="H112" s="87">
        <v>0</v>
      </c>
      <c r="I112" s="87">
        <v>0</v>
      </c>
    </row>
    <row r="113" spans="1:9" ht="15" customHeight="1" x14ac:dyDescent="0.25">
      <c r="A113" s="5">
        <v>45988</v>
      </c>
      <c r="B113" s="89">
        <v>-0.33333333333333298</v>
      </c>
      <c r="C113" s="86">
        <v>0</v>
      </c>
      <c r="D113" s="86">
        <v>0</v>
      </c>
      <c r="E113" s="90">
        <v>3.99999999999956E-4</v>
      </c>
      <c r="F113" s="90">
        <v>4.3497172683770703E-4</v>
      </c>
      <c r="G113" s="86">
        <v>0</v>
      </c>
      <c r="H113" s="90">
        <v>9.5890410958904104E-2</v>
      </c>
      <c r="I113" s="86">
        <v>0</v>
      </c>
    </row>
    <row r="114" spans="1:9" ht="15" customHeight="1" x14ac:dyDescent="0.25">
      <c r="A114" s="8">
        <v>45991</v>
      </c>
      <c r="B114" s="87">
        <v>0</v>
      </c>
      <c r="C114" s="87">
        <v>0</v>
      </c>
      <c r="D114" s="87">
        <v>0</v>
      </c>
      <c r="E114" s="87">
        <v>0</v>
      </c>
      <c r="F114" s="88">
        <v>-4.3478260869567198E-4</v>
      </c>
      <c r="G114" s="87">
        <v>0</v>
      </c>
      <c r="H114" s="87">
        <v>0</v>
      </c>
      <c r="I114" s="91">
        <v>0.05</v>
      </c>
    </row>
    <row r="115" spans="1:9" ht="15" customHeight="1" x14ac:dyDescent="0.25">
      <c r="A115" s="5">
        <v>45993</v>
      </c>
      <c r="B115" s="90">
        <v>0.05</v>
      </c>
      <c r="C115" s="86">
        <v>0</v>
      </c>
      <c r="D115" s="86">
        <v>0</v>
      </c>
      <c r="E115" s="86">
        <v>0</v>
      </c>
      <c r="F115" s="90">
        <v>4.3497172683770703E-4</v>
      </c>
      <c r="G115" s="89">
        <v>-2.7700831024930501E-3</v>
      </c>
      <c r="H115" s="86">
        <v>0</v>
      </c>
      <c r="I115" s="86">
        <v>0</v>
      </c>
    </row>
    <row r="116" spans="1:9" ht="15" customHeight="1" x14ac:dyDescent="0.25">
      <c r="A116" s="8">
        <v>45995</v>
      </c>
      <c r="B116" s="87">
        <v>0</v>
      </c>
      <c r="C116" s="87">
        <v>0</v>
      </c>
      <c r="D116" s="87">
        <v>0</v>
      </c>
      <c r="E116" s="87">
        <v>0</v>
      </c>
      <c r="F116" s="87">
        <v>0</v>
      </c>
      <c r="G116" s="87">
        <v>0</v>
      </c>
      <c r="H116" s="87">
        <v>0</v>
      </c>
      <c r="I116" s="87">
        <v>0</v>
      </c>
    </row>
    <row r="117" spans="1:9" ht="15" customHeight="1" x14ac:dyDescent="0.25">
      <c r="A117" s="5">
        <v>45998</v>
      </c>
      <c r="B117" s="86">
        <v>0</v>
      </c>
      <c r="C117" s="86">
        <v>0</v>
      </c>
      <c r="D117" s="86">
        <v>0</v>
      </c>
      <c r="E117" s="86">
        <v>0</v>
      </c>
      <c r="F117" s="89">
        <v>-4.3478260869567198E-4</v>
      </c>
      <c r="G117" s="86">
        <v>0</v>
      </c>
      <c r="H117" s="86">
        <v>0</v>
      </c>
      <c r="I117" s="86">
        <v>0</v>
      </c>
    </row>
    <row r="118" spans="1:9" ht="15" customHeight="1" x14ac:dyDescent="0.25">
      <c r="A118" s="8">
        <v>46000</v>
      </c>
      <c r="B118" s="91">
        <v>3.1746031746031599E-3</v>
      </c>
      <c r="C118" s="87">
        <v>0</v>
      </c>
      <c r="D118" s="87">
        <v>0</v>
      </c>
      <c r="E118" s="87">
        <v>0</v>
      </c>
      <c r="F118" s="87">
        <v>0</v>
      </c>
      <c r="G118" s="87">
        <v>0</v>
      </c>
      <c r="H118" s="91">
        <v>8.7499999999999897E-2</v>
      </c>
      <c r="I118" s="87">
        <v>0</v>
      </c>
    </row>
    <row r="119" spans="1:9" ht="15" customHeight="1" x14ac:dyDescent="0.25">
      <c r="A119" s="5">
        <v>46002</v>
      </c>
      <c r="B119" s="86">
        <v>0</v>
      </c>
      <c r="C119" s="86">
        <v>0</v>
      </c>
      <c r="D119" s="86">
        <v>0</v>
      </c>
      <c r="E119" s="86">
        <v>0</v>
      </c>
      <c r="F119" s="90">
        <v>4.3497172683770703E-4</v>
      </c>
      <c r="G119" s="86">
        <v>0</v>
      </c>
      <c r="H119" s="86">
        <v>0</v>
      </c>
      <c r="I119" s="86">
        <v>0</v>
      </c>
    </row>
    <row r="120" spans="1:9" ht="15" customHeight="1" x14ac:dyDescent="0.25">
      <c r="A120" s="8">
        <v>46005</v>
      </c>
      <c r="B120" s="91">
        <v>9.493670886076E-3</v>
      </c>
      <c r="C120" s="87">
        <v>0</v>
      </c>
      <c r="D120" s="87">
        <v>0</v>
      </c>
      <c r="E120" s="87">
        <v>0</v>
      </c>
      <c r="F120" s="87">
        <v>0</v>
      </c>
      <c r="G120" s="87">
        <v>0</v>
      </c>
      <c r="H120" s="87">
        <v>0</v>
      </c>
      <c r="I120" s="87">
        <v>0</v>
      </c>
    </row>
    <row r="121" spans="1:9" ht="15" customHeight="1" x14ac:dyDescent="0.25">
      <c r="A121" s="5">
        <v>46007</v>
      </c>
      <c r="B121" s="86">
        <v>0</v>
      </c>
      <c r="C121" s="86">
        <v>0</v>
      </c>
      <c r="D121" s="86">
        <v>0</v>
      </c>
      <c r="E121" s="86">
        <v>0</v>
      </c>
      <c r="F121" s="89">
        <v>-4.3478260869567198E-4</v>
      </c>
      <c r="G121" s="86">
        <v>0</v>
      </c>
      <c r="H121" s="86">
        <v>0</v>
      </c>
      <c r="I121" s="86">
        <v>0</v>
      </c>
    </row>
    <row r="122" spans="1:9" ht="15" customHeight="1" x14ac:dyDescent="0.25">
      <c r="A122" s="8">
        <v>46009</v>
      </c>
      <c r="B122" s="87">
        <v>0</v>
      </c>
      <c r="C122" s="87">
        <v>0</v>
      </c>
      <c r="D122" s="87">
        <v>0</v>
      </c>
      <c r="E122" s="87">
        <v>0</v>
      </c>
      <c r="F122" s="91">
        <v>4.3497172683770703E-4</v>
      </c>
      <c r="G122" s="87">
        <v>0</v>
      </c>
      <c r="H122" s="88">
        <v>-8.04597701149425E-2</v>
      </c>
      <c r="I122" s="87">
        <v>0</v>
      </c>
    </row>
    <row r="123" spans="1:9" ht="15" customHeight="1" x14ac:dyDescent="0.25">
      <c r="A123" s="5">
        <v>46012</v>
      </c>
      <c r="B123" s="86">
        <v>0</v>
      </c>
      <c r="C123" s="86">
        <v>0</v>
      </c>
      <c r="D123" s="86">
        <v>0</v>
      </c>
      <c r="E123" s="86">
        <v>0</v>
      </c>
      <c r="F123" s="86">
        <v>0</v>
      </c>
      <c r="G123" s="86">
        <v>0</v>
      </c>
      <c r="H123" s="86">
        <v>0</v>
      </c>
      <c r="I123" s="86">
        <v>0</v>
      </c>
    </row>
    <row r="124" spans="1:9" ht="15" customHeight="1" x14ac:dyDescent="0.25">
      <c r="A124" s="8">
        <v>46014</v>
      </c>
      <c r="B124" s="91">
        <v>3.4482758620689703E-2</v>
      </c>
      <c r="C124" s="87">
        <v>0</v>
      </c>
      <c r="D124" s="87">
        <v>0</v>
      </c>
      <c r="E124" s="87">
        <v>0</v>
      </c>
      <c r="F124" s="87">
        <v>0</v>
      </c>
      <c r="G124" s="87">
        <v>0</v>
      </c>
      <c r="H124" s="87">
        <v>0</v>
      </c>
      <c r="I124" s="87">
        <v>0</v>
      </c>
    </row>
    <row r="125" spans="1:9" ht="15" customHeight="1" x14ac:dyDescent="0.25">
      <c r="A125" s="5">
        <v>46016</v>
      </c>
      <c r="B125" s="86">
        <v>0</v>
      </c>
      <c r="C125" s="86">
        <v>0</v>
      </c>
      <c r="D125" s="86">
        <v>0</v>
      </c>
      <c r="E125" s="86">
        <v>0</v>
      </c>
      <c r="F125" s="86">
        <v>0</v>
      </c>
      <c r="G125" s="86">
        <v>0</v>
      </c>
      <c r="H125" s="86">
        <v>0</v>
      </c>
      <c r="I125" s="86">
        <v>0</v>
      </c>
    </row>
    <row r="126" spans="1:9" ht="15" customHeight="1" x14ac:dyDescent="0.25">
      <c r="A126" s="8">
        <v>46019</v>
      </c>
      <c r="B126" s="87">
        <v>0</v>
      </c>
      <c r="C126" s="87">
        <v>0</v>
      </c>
      <c r="D126" s="87">
        <v>0</v>
      </c>
      <c r="E126" s="87">
        <v>0</v>
      </c>
      <c r="F126" s="87">
        <v>0</v>
      </c>
      <c r="G126" s="87">
        <v>0</v>
      </c>
      <c r="H126" s="87">
        <v>0</v>
      </c>
      <c r="I126" s="87">
        <v>0</v>
      </c>
    </row>
    <row r="127" spans="1:9" ht="15" customHeight="1" x14ac:dyDescent="0.25">
      <c r="A127" s="5">
        <v>46021</v>
      </c>
      <c r="B127" s="86">
        <v>0</v>
      </c>
      <c r="C127" s="86">
        <v>0</v>
      </c>
      <c r="D127" s="90">
        <v>7.1428571428571201E-3</v>
      </c>
      <c r="E127" s="86">
        <v>0</v>
      </c>
      <c r="F127" s="86">
        <v>0</v>
      </c>
      <c r="G127" s="86">
        <v>0</v>
      </c>
      <c r="H127" s="86">
        <v>0</v>
      </c>
      <c r="I127" s="86">
        <v>0</v>
      </c>
    </row>
    <row r="128" spans="1:9" ht="15" customHeight="1" x14ac:dyDescent="0.25">
      <c r="A128" s="8">
        <v>46026</v>
      </c>
      <c r="B128" s="87">
        <v>0</v>
      </c>
      <c r="C128" s="87">
        <v>0</v>
      </c>
      <c r="D128" s="87">
        <v>0</v>
      </c>
      <c r="E128" s="87">
        <v>0</v>
      </c>
      <c r="F128" s="87">
        <v>0</v>
      </c>
      <c r="G128" s="87">
        <v>0</v>
      </c>
      <c r="H128" s="87">
        <v>0</v>
      </c>
      <c r="I128" s="87">
        <v>0</v>
      </c>
    </row>
    <row r="129" spans="1:9" ht="15" customHeight="1" x14ac:dyDescent="0.25">
      <c r="A129" s="5">
        <v>46028</v>
      </c>
      <c r="B129" s="86">
        <v>0</v>
      </c>
      <c r="C129" s="86">
        <v>0</v>
      </c>
      <c r="D129" s="86">
        <v>0</v>
      </c>
      <c r="E129" s="86">
        <v>0</v>
      </c>
      <c r="F129" s="86">
        <v>0</v>
      </c>
      <c r="G129" s="86">
        <v>0</v>
      </c>
      <c r="H129" s="86">
        <v>0</v>
      </c>
      <c r="I129" s="86">
        <v>0</v>
      </c>
    </row>
    <row r="130" spans="1:9" ht="15" customHeight="1" x14ac:dyDescent="0.25">
      <c r="A130" s="8">
        <v>46030</v>
      </c>
      <c r="B130" s="87">
        <v>0</v>
      </c>
      <c r="C130" s="87">
        <v>0</v>
      </c>
      <c r="D130" s="87">
        <v>0</v>
      </c>
      <c r="E130" s="87">
        <v>0</v>
      </c>
      <c r="F130" s="88">
        <v>-4.3478260869567198E-4</v>
      </c>
      <c r="G130" s="87">
        <v>0</v>
      </c>
      <c r="H130" s="87">
        <v>0</v>
      </c>
      <c r="I130" s="87">
        <v>0</v>
      </c>
    </row>
    <row r="131" spans="1:9" ht="15" customHeight="1" x14ac:dyDescent="0.25">
      <c r="A131" s="5">
        <v>46033</v>
      </c>
      <c r="B131" s="86">
        <v>0</v>
      </c>
      <c r="C131" s="86">
        <v>0</v>
      </c>
      <c r="D131" s="86">
        <v>0</v>
      </c>
      <c r="E131" s="86">
        <v>0</v>
      </c>
      <c r="F131" s="86">
        <v>0</v>
      </c>
      <c r="G131" s="86">
        <v>0</v>
      </c>
      <c r="H131" s="86">
        <v>0</v>
      </c>
      <c r="I131" s="86">
        <v>0</v>
      </c>
    </row>
    <row r="132" spans="1:9" ht="15" customHeight="1" x14ac:dyDescent="0.25">
      <c r="A132" s="8">
        <v>46035</v>
      </c>
      <c r="B132" s="87">
        <v>0</v>
      </c>
      <c r="C132" s="87">
        <v>0</v>
      </c>
      <c r="D132" s="88">
        <v>-7.0921985815602896E-3</v>
      </c>
      <c r="E132" s="87">
        <v>0</v>
      </c>
      <c r="F132" s="88">
        <v>-8.6994345367552605E-4</v>
      </c>
      <c r="G132" s="87">
        <v>0</v>
      </c>
      <c r="H132" s="87">
        <v>0</v>
      </c>
      <c r="I132" s="87">
        <v>0</v>
      </c>
    </row>
    <row r="133" spans="1:9" ht="15" customHeight="1" x14ac:dyDescent="0.25">
      <c r="A133" s="5">
        <v>46037</v>
      </c>
      <c r="B133" s="90">
        <v>3.0303030303029401E-3</v>
      </c>
      <c r="C133" s="86">
        <v>0</v>
      </c>
      <c r="D133" s="86">
        <v>0</v>
      </c>
      <c r="E133" s="86">
        <v>0</v>
      </c>
      <c r="F133" s="86">
        <v>0</v>
      </c>
      <c r="G133" s="86">
        <v>0</v>
      </c>
      <c r="H133" s="86">
        <v>0</v>
      </c>
      <c r="I133" s="86">
        <v>0</v>
      </c>
    </row>
    <row r="134" spans="1:9" ht="15" customHeight="1" x14ac:dyDescent="0.25">
      <c r="A134" s="8">
        <v>46040</v>
      </c>
      <c r="B134" s="91">
        <v>4.2296072507552997E-2</v>
      </c>
      <c r="C134" s="87">
        <v>0</v>
      </c>
      <c r="D134" s="87">
        <v>0</v>
      </c>
      <c r="E134" s="87">
        <v>0</v>
      </c>
      <c r="F134" s="87">
        <v>0</v>
      </c>
      <c r="G134" s="87">
        <v>0</v>
      </c>
      <c r="H134" s="87">
        <v>0</v>
      </c>
      <c r="I134" s="87">
        <v>0</v>
      </c>
    </row>
    <row r="135" spans="1:9" ht="15" customHeight="1" x14ac:dyDescent="0.25">
      <c r="A135" s="5">
        <v>46042</v>
      </c>
      <c r="B135" s="86">
        <v>0</v>
      </c>
      <c r="C135" s="86">
        <v>0</v>
      </c>
      <c r="D135" s="86">
        <v>0</v>
      </c>
      <c r="E135" s="86">
        <v>0</v>
      </c>
      <c r="F135" s="89">
        <v>-4.3535045711795599E-4</v>
      </c>
      <c r="G135" s="86">
        <v>0</v>
      </c>
      <c r="H135" s="86">
        <v>0</v>
      </c>
      <c r="I135" s="86">
        <v>0</v>
      </c>
    </row>
    <row r="136" spans="1:9" ht="15" customHeight="1" x14ac:dyDescent="0.25">
      <c r="A136" s="8">
        <v>46044</v>
      </c>
      <c r="B136" s="87">
        <v>0</v>
      </c>
      <c r="C136" s="87">
        <v>0</v>
      </c>
      <c r="D136" s="87">
        <v>0</v>
      </c>
      <c r="E136" s="87">
        <v>0</v>
      </c>
      <c r="F136" s="91">
        <v>4.35540069686491E-4</v>
      </c>
      <c r="G136" s="87">
        <v>0</v>
      </c>
      <c r="H136" s="87">
        <v>0</v>
      </c>
      <c r="I136" s="87">
        <v>0</v>
      </c>
    </row>
    <row r="137" spans="1:9" ht="15" customHeight="1" x14ac:dyDescent="0.25">
      <c r="A137" s="5">
        <v>46047</v>
      </c>
      <c r="B137" s="86">
        <v>0</v>
      </c>
      <c r="C137" s="86">
        <v>0</v>
      </c>
      <c r="D137" s="86">
        <v>0</v>
      </c>
      <c r="E137" s="86">
        <v>0</v>
      </c>
      <c r="F137" s="86">
        <v>0</v>
      </c>
      <c r="G137" s="86">
        <v>0</v>
      </c>
      <c r="H137" s="86">
        <v>0</v>
      </c>
      <c r="I137" s="86">
        <v>0</v>
      </c>
    </row>
    <row r="138" spans="1:9" ht="15" customHeight="1" x14ac:dyDescent="0.25">
      <c r="A138" s="8">
        <v>46049</v>
      </c>
      <c r="B138" s="87">
        <v>0</v>
      </c>
      <c r="C138" s="87">
        <v>0</v>
      </c>
      <c r="D138" s="87">
        <v>0</v>
      </c>
      <c r="E138" s="87">
        <v>0</v>
      </c>
      <c r="F138" s="88">
        <v>-8.7070091423591101E-4</v>
      </c>
      <c r="G138" s="87">
        <v>0</v>
      </c>
      <c r="H138" s="87">
        <v>0</v>
      </c>
      <c r="I138" s="87">
        <v>0</v>
      </c>
    </row>
    <row r="139" spans="1:9" ht="15" customHeight="1" x14ac:dyDescent="0.25">
      <c r="A139" s="5">
        <v>46051</v>
      </c>
      <c r="B139" s="86">
        <v>0</v>
      </c>
      <c r="C139" s="86">
        <v>0</v>
      </c>
      <c r="D139" s="86">
        <v>0</v>
      </c>
      <c r="E139" s="86">
        <v>0</v>
      </c>
      <c r="F139" s="86">
        <v>0</v>
      </c>
      <c r="G139" s="86">
        <v>0</v>
      </c>
      <c r="H139" s="86">
        <v>0</v>
      </c>
      <c r="I139" s="86">
        <v>0</v>
      </c>
    </row>
    <row r="140" spans="1:9" ht="15" customHeight="1" x14ac:dyDescent="0.25">
      <c r="A140" s="8">
        <v>46054</v>
      </c>
      <c r="B140" s="87">
        <v>0</v>
      </c>
      <c r="C140" s="87">
        <v>0</v>
      </c>
      <c r="D140" s="87">
        <v>0</v>
      </c>
      <c r="E140" s="87">
        <v>0</v>
      </c>
      <c r="F140" s="87">
        <v>0</v>
      </c>
      <c r="G140" s="87">
        <v>0</v>
      </c>
      <c r="H140" s="87">
        <v>0</v>
      </c>
      <c r="I140" s="87">
        <v>0</v>
      </c>
    </row>
    <row r="141" spans="1:9" ht="15" customHeight="1" x14ac:dyDescent="0.25">
      <c r="A141" s="5">
        <v>46056</v>
      </c>
      <c r="B141" s="86">
        <v>0</v>
      </c>
      <c r="C141" s="86">
        <v>0</v>
      </c>
      <c r="D141" s="86">
        <v>0</v>
      </c>
      <c r="E141" s="86">
        <v>0</v>
      </c>
      <c r="F141" s="89">
        <v>-2.1786492374728001E-3</v>
      </c>
      <c r="G141" s="86">
        <v>0</v>
      </c>
      <c r="H141" s="86">
        <v>0</v>
      </c>
      <c r="I141" s="86">
        <v>0</v>
      </c>
    </row>
    <row r="142" spans="1:9" ht="15" customHeight="1" x14ac:dyDescent="0.25">
      <c r="A142" s="8">
        <v>46058</v>
      </c>
      <c r="B142" s="87">
        <v>0</v>
      </c>
      <c r="C142" s="87">
        <v>0</v>
      </c>
      <c r="D142" s="87">
        <v>0</v>
      </c>
      <c r="E142" s="87">
        <v>0</v>
      </c>
      <c r="F142" s="88">
        <v>-4.3668122270745801E-4</v>
      </c>
      <c r="G142" s="87">
        <v>0</v>
      </c>
      <c r="H142" s="87">
        <v>0</v>
      </c>
      <c r="I142" s="87">
        <v>0</v>
      </c>
    </row>
    <row r="143" spans="1:9" ht="15" customHeight="1" x14ac:dyDescent="0.25">
      <c r="A143" s="5">
        <v>46061</v>
      </c>
      <c r="B143" s="86">
        <v>0</v>
      </c>
      <c r="C143" s="86">
        <v>0</v>
      </c>
      <c r="D143" s="86">
        <v>0</v>
      </c>
      <c r="E143" s="86">
        <v>0</v>
      </c>
      <c r="F143" s="86">
        <v>0</v>
      </c>
      <c r="G143" s="86">
        <v>0</v>
      </c>
      <c r="H143" s="86">
        <v>0</v>
      </c>
      <c r="I143" s="86">
        <v>0</v>
      </c>
    </row>
    <row r="144" spans="1:9" ht="15" customHeight="1" x14ac:dyDescent="0.25">
      <c r="A144" s="8">
        <v>46063</v>
      </c>
      <c r="B144" s="87">
        <v>0</v>
      </c>
      <c r="C144" s="87">
        <v>0</v>
      </c>
      <c r="D144" s="87">
        <v>0</v>
      </c>
      <c r="E144" s="87">
        <v>0</v>
      </c>
      <c r="F144" s="88">
        <v>-1.7474879860200901E-3</v>
      </c>
      <c r="G144" s="87">
        <v>0</v>
      </c>
      <c r="H144" s="87">
        <v>0</v>
      </c>
      <c r="I144" s="87">
        <v>0</v>
      </c>
    </row>
    <row r="145" spans="1:9" ht="15" customHeight="1" x14ac:dyDescent="0.25">
      <c r="A145" s="5">
        <v>46065</v>
      </c>
      <c r="B145" s="86">
        <v>0</v>
      </c>
      <c r="C145" s="86">
        <v>0</v>
      </c>
      <c r="D145" s="86">
        <v>0</v>
      </c>
      <c r="E145" s="86">
        <v>0</v>
      </c>
      <c r="F145" s="89">
        <v>-7.0021881838074904E-3</v>
      </c>
      <c r="G145" s="86">
        <v>0</v>
      </c>
      <c r="H145" s="86">
        <v>0</v>
      </c>
      <c r="I145" s="86">
        <v>0</v>
      </c>
    </row>
    <row r="146" spans="1:9" ht="15" customHeight="1" x14ac:dyDescent="0.25">
      <c r="A146" s="8">
        <v>46068</v>
      </c>
      <c r="B146" s="87">
        <v>0</v>
      </c>
      <c r="C146" s="87">
        <v>0</v>
      </c>
      <c r="D146" s="87">
        <v>0</v>
      </c>
      <c r="E146" s="87">
        <v>0</v>
      </c>
      <c r="F146" s="87">
        <v>0</v>
      </c>
      <c r="G146" s="87">
        <v>0</v>
      </c>
      <c r="H146" s="87">
        <v>0</v>
      </c>
      <c r="I146" s="87">
        <v>0</v>
      </c>
    </row>
    <row r="147" spans="1:9" ht="15" customHeight="1" x14ac:dyDescent="0.25">
      <c r="A147" s="5">
        <v>46070</v>
      </c>
      <c r="B147" s="86">
        <v>0</v>
      </c>
      <c r="C147" s="86">
        <v>0</v>
      </c>
      <c r="D147" s="86">
        <v>0</v>
      </c>
      <c r="E147" s="90">
        <v>3.99840063974422E-4</v>
      </c>
      <c r="F147" s="89">
        <v>-3.9665050683119797E-3</v>
      </c>
      <c r="G147" s="86">
        <v>0</v>
      </c>
      <c r="H147" s="86">
        <v>0</v>
      </c>
      <c r="I147" s="86">
        <v>0</v>
      </c>
    </row>
    <row r="148" spans="1:9" ht="15" customHeight="1" x14ac:dyDescent="0.25">
      <c r="A148" s="8">
        <v>46072</v>
      </c>
      <c r="B148" s="87">
        <v>0</v>
      </c>
      <c r="C148" s="87">
        <v>0</v>
      </c>
      <c r="D148" s="87">
        <v>0</v>
      </c>
      <c r="E148" s="88">
        <v>-3.9968025579539801E-4</v>
      </c>
      <c r="F148" s="88">
        <v>-4.4247787610619503E-3</v>
      </c>
      <c r="G148" s="87">
        <v>0</v>
      </c>
      <c r="H148" s="87">
        <v>0</v>
      </c>
      <c r="I148" s="87">
        <v>0</v>
      </c>
    </row>
    <row r="149" spans="1:9" ht="15" customHeight="1" x14ac:dyDescent="0.25">
      <c r="A149" s="5">
        <v>46075</v>
      </c>
      <c r="B149" s="86">
        <v>0</v>
      </c>
      <c r="C149" s="86">
        <v>0</v>
      </c>
      <c r="D149" s="86">
        <v>0</v>
      </c>
      <c r="E149" s="86">
        <v>0</v>
      </c>
      <c r="F149" s="86">
        <v>0</v>
      </c>
      <c r="G149" s="86">
        <v>0</v>
      </c>
      <c r="H149" s="86">
        <v>0</v>
      </c>
      <c r="I149" s="86">
        <v>0</v>
      </c>
    </row>
    <row r="150" spans="1:9" ht="15" customHeight="1" x14ac:dyDescent="0.25">
      <c r="A150" s="8">
        <v>46077</v>
      </c>
      <c r="B150" s="87">
        <v>0</v>
      </c>
      <c r="C150" s="87">
        <v>0</v>
      </c>
      <c r="D150" s="87">
        <v>0</v>
      </c>
      <c r="E150" s="87">
        <v>0</v>
      </c>
      <c r="F150" s="88">
        <v>-4.4444444444447E-4</v>
      </c>
      <c r="G150" s="87">
        <v>0</v>
      </c>
      <c r="H150" s="87">
        <v>0</v>
      </c>
      <c r="I150" s="87">
        <v>0</v>
      </c>
    </row>
    <row r="151" spans="1:9" ht="15" customHeight="1" x14ac:dyDescent="0.25">
      <c r="A151" s="5">
        <v>46079</v>
      </c>
      <c r="B151" s="86">
        <v>0</v>
      </c>
      <c r="C151" s="86">
        <v>0</v>
      </c>
      <c r="D151" s="86">
        <v>0</v>
      </c>
      <c r="E151" s="90">
        <v>3.99840063974422E-4</v>
      </c>
      <c r="F151" s="86">
        <v>0</v>
      </c>
      <c r="G151" s="86">
        <v>0</v>
      </c>
      <c r="H151" s="86">
        <v>0</v>
      </c>
      <c r="I151" s="86">
        <v>0</v>
      </c>
    </row>
    <row r="152" spans="1:9" ht="15" customHeight="1" x14ac:dyDescent="0.25">
      <c r="A152" s="8">
        <v>46082</v>
      </c>
      <c r="B152" s="87">
        <v>0</v>
      </c>
      <c r="C152" s="87">
        <v>0</v>
      </c>
      <c r="D152" s="87">
        <v>0</v>
      </c>
      <c r="E152" s="87">
        <v>0</v>
      </c>
      <c r="F152" s="88">
        <v>-8.89284126278311E-4</v>
      </c>
      <c r="G152" s="87">
        <v>0</v>
      </c>
      <c r="H152" s="87">
        <v>0</v>
      </c>
      <c r="I152" s="87">
        <v>0</v>
      </c>
    </row>
    <row r="153" spans="1:9" ht="15" customHeight="1" x14ac:dyDescent="0.25">
      <c r="A153" s="5">
        <v>46084</v>
      </c>
      <c r="B153" s="86">
        <v>0</v>
      </c>
      <c r="C153" s="86">
        <v>0</v>
      </c>
      <c r="D153" s="86">
        <v>0</v>
      </c>
      <c r="E153" s="86">
        <v>0</v>
      </c>
      <c r="F153" s="86">
        <v>0</v>
      </c>
      <c r="G153" s="86">
        <v>0</v>
      </c>
      <c r="H153" s="86">
        <v>0</v>
      </c>
      <c r="I153" s="86">
        <v>0</v>
      </c>
    </row>
    <row r="154" spans="1:9" ht="15" customHeight="1" x14ac:dyDescent="0.25">
      <c r="A154" s="8">
        <v>46086</v>
      </c>
      <c r="B154" s="87">
        <v>0</v>
      </c>
      <c r="C154" s="87">
        <v>0</v>
      </c>
      <c r="D154" s="88">
        <v>-1.42857142857145E-3</v>
      </c>
      <c r="E154" s="87">
        <v>0</v>
      </c>
      <c r="F154" s="88">
        <v>-3.1152647975077898E-3</v>
      </c>
      <c r="G154" s="87">
        <v>0</v>
      </c>
      <c r="H154" s="87">
        <v>0</v>
      </c>
      <c r="I154" s="87">
        <v>0</v>
      </c>
    </row>
    <row r="155" spans="1:9" ht="15" customHeight="1" x14ac:dyDescent="0.25">
      <c r="A155" s="5">
        <v>46089</v>
      </c>
      <c r="B155" s="86">
        <v>0</v>
      </c>
      <c r="C155" s="86">
        <v>0</v>
      </c>
      <c r="D155" s="90">
        <v>7.1530758226034897E-4</v>
      </c>
      <c r="E155" s="86">
        <v>0</v>
      </c>
      <c r="F155" s="86">
        <v>0</v>
      </c>
      <c r="G155" s="86">
        <v>0</v>
      </c>
      <c r="H155" s="86">
        <v>0</v>
      </c>
      <c r="I155" s="86">
        <v>0</v>
      </c>
    </row>
    <row r="156" spans="1:9" ht="15" customHeight="1" x14ac:dyDescent="0.25">
      <c r="A156" s="8">
        <v>46091</v>
      </c>
      <c r="B156" s="87">
        <v>0</v>
      </c>
      <c r="C156" s="87">
        <v>0</v>
      </c>
      <c r="D156" s="87">
        <v>0</v>
      </c>
      <c r="E156" s="87">
        <v>0</v>
      </c>
      <c r="F156" s="87">
        <v>0</v>
      </c>
      <c r="G156" s="87">
        <v>0</v>
      </c>
      <c r="H156" s="87">
        <v>0</v>
      </c>
      <c r="I156" s="87">
        <v>0</v>
      </c>
    </row>
    <row r="157" spans="1:9" ht="15" customHeight="1" x14ac:dyDescent="0.25">
      <c r="A157" s="5">
        <v>46093</v>
      </c>
      <c r="B157" s="86">
        <v>0</v>
      </c>
      <c r="C157" s="86">
        <v>0</v>
      </c>
      <c r="D157" s="86">
        <v>0</v>
      </c>
      <c r="E157" s="86">
        <v>0</v>
      </c>
      <c r="F157" s="86">
        <v>0</v>
      </c>
      <c r="G157" s="86">
        <v>0</v>
      </c>
      <c r="H157" s="86">
        <v>0</v>
      </c>
      <c r="I157" s="86">
        <v>0</v>
      </c>
    </row>
    <row r="158" spans="1:9" ht="15" customHeight="1" x14ac:dyDescent="0.25">
      <c r="A158" s="8">
        <v>46096</v>
      </c>
      <c r="B158" s="87">
        <v>0</v>
      </c>
      <c r="C158" s="87">
        <v>0</v>
      </c>
      <c r="D158" s="87">
        <v>0</v>
      </c>
      <c r="E158" s="87">
        <v>0</v>
      </c>
      <c r="F158" s="88">
        <v>-8.9285714285714001E-4</v>
      </c>
      <c r="G158" s="87">
        <v>0</v>
      </c>
      <c r="H158" s="87">
        <v>0</v>
      </c>
      <c r="I158" s="87">
        <v>0</v>
      </c>
    </row>
    <row r="159" spans="1:9" ht="15" customHeight="1" x14ac:dyDescent="0.25">
      <c r="A159" s="5">
        <v>46098</v>
      </c>
      <c r="B159" s="86">
        <v>0</v>
      </c>
      <c r="C159" s="86">
        <v>0</v>
      </c>
      <c r="D159" s="86">
        <v>0</v>
      </c>
      <c r="E159" s="86">
        <v>0</v>
      </c>
      <c r="F159" s="89">
        <v>-1.3404825737265401E-3</v>
      </c>
      <c r="G159" s="86">
        <v>0</v>
      </c>
      <c r="H159" s="86">
        <v>0</v>
      </c>
      <c r="I159" s="86">
        <v>0</v>
      </c>
    </row>
    <row r="160" spans="1:9" ht="15" customHeight="1" x14ac:dyDescent="0.25">
      <c r="A160" s="8">
        <v>46100</v>
      </c>
      <c r="B160" s="87">
        <v>0</v>
      </c>
      <c r="C160" s="87">
        <v>0</v>
      </c>
      <c r="D160" s="87">
        <v>0</v>
      </c>
      <c r="E160" s="87">
        <v>0</v>
      </c>
      <c r="F160" s="87">
        <v>0</v>
      </c>
      <c r="G160" s="87">
        <v>0</v>
      </c>
      <c r="H160" s="87">
        <v>0</v>
      </c>
      <c r="I160" s="87">
        <v>0</v>
      </c>
    </row>
    <row r="161" spans="1:9" ht="15" customHeight="1" x14ac:dyDescent="0.25">
      <c r="A161" s="5">
        <v>46104</v>
      </c>
      <c r="B161" s="86">
        <v>0</v>
      </c>
      <c r="C161" s="86">
        <v>0</v>
      </c>
      <c r="D161" s="86">
        <v>0</v>
      </c>
      <c r="E161" s="86">
        <v>0</v>
      </c>
      <c r="F161" s="89">
        <v>-2.2371364653244199E-3</v>
      </c>
      <c r="G161" s="86">
        <v>0</v>
      </c>
      <c r="H161" s="86">
        <v>0</v>
      </c>
      <c r="I161" s="86">
        <v>0</v>
      </c>
    </row>
    <row r="162" spans="1:9" ht="15" customHeight="1" x14ac:dyDescent="0.25">
      <c r="A162" s="8">
        <v>46105</v>
      </c>
      <c r="B162" s="87">
        <v>0</v>
      </c>
      <c r="C162" s="87">
        <v>0</v>
      </c>
      <c r="D162" s="87">
        <v>0</v>
      </c>
      <c r="E162" s="87">
        <v>0</v>
      </c>
      <c r="F162" s="88">
        <v>-4.4843049327358798E-4</v>
      </c>
      <c r="G162" s="87">
        <v>0</v>
      </c>
      <c r="H162" s="87">
        <v>0</v>
      </c>
      <c r="I162" s="87">
        <v>0</v>
      </c>
    </row>
    <row r="163" spans="1:9" ht="15" customHeight="1" x14ac:dyDescent="0.25">
      <c r="A163" s="5">
        <v>46107</v>
      </c>
      <c r="B163" s="86">
        <v>0</v>
      </c>
      <c r="C163" s="86">
        <v>0</v>
      </c>
      <c r="D163" s="86">
        <v>0</v>
      </c>
      <c r="E163" s="90">
        <v>3.9968025579528699E-4</v>
      </c>
      <c r="F163" s="89">
        <v>-4.9349484073575303E-3</v>
      </c>
      <c r="G163" s="86">
        <v>0</v>
      </c>
      <c r="H163" s="86">
        <v>0</v>
      </c>
      <c r="I163" s="86">
        <v>0</v>
      </c>
    </row>
    <row r="164" spans="1:9" ht="15" customHeight="1" x14ac:dyDescent="0.25">
      <c r="A164" s="8">
        <v>46110</v>
      </c>
      <c r="B164" s="87">
        <v>0</v>
      </c>
      <c r="C164" s="87">
        <v>0</v>
      </c>
      <c r="D164" s="87">
        <v>0</v>
      </c>
      <c r="E164" s="87">
        <v>0</v>
      </c>
      <c r="F164" s="88">
        <v>-3.60685302073938E-3</v>
      </c>
      <c r="G164" s="87">
        <v>0</v>
      </c>
      <c r="H164" s="87">
        <v>0</v>
      </c>
      <c r="I164" s="87">
        <v>0</v>
      </c>
    </row>
    <row r="165" spans="1:9" ht="15" customHeight="1" x14ac:dyDescent="0.25">
      <c r="A165" s="5">
        <v>46112</v>
      </c>
      <c r="B165" s="86">
        <v>0</v>
      </c>
      <c r="C165" s="86">
        <v>0</v>
      </c>
      <c r="D165" s="90">
        <v>7.1479628305937105E-4</v>
      </c>
      <c r="E165" s="86">
        <v>0</v>
      </c>
      <c r="F165" s="89">
        <v>-4.52488687782804E-3</v>
      </c>
      <c r="G165" s="86">
        <v>0</v>
      </c>
      <c r="H165" s="86">
        <v>0</v>
      </c>
      <c r="I165" s="86">
        <v>0</v>
      </c>
    </row>
    <row r="166" spans="1:9" ht="15" customHeight="1" x14ac:dyDescent="0.25">
      <c r="A166" s="8">
        <v>46114</v>
      </c>
      <c r="B166" s="87">
        <v>0</v>
      </c>
      <c r="C166" s="87">
        <v>0</v>
      </c>
      <c r="D166" s="87">
        <v>0</v>
      </c>
      <c r="E166" s="87">
        <v>0</v>
      </c>
      <c r="F166" s="88">
        <v>-2.3636363636363698E-2</v>
      </c>
      <c r="G166" s="87">
        <v>0</v>
      </c>
      <c r="H166" s="88">
        <v>-2.5000000000000001E-2</v>
      </c>
      <c r="I166" s="87">
        <v>0</v>
      </c>
    </row>
    <row r="167" spans="1:9" ht="15" customHeight="1" x14ac:dyDescent="0.25">
      <c r="A167" s="5">
        <v>46117</v>
      </c>
      <c r="B167" s="86">
        <v>0</v>
      </c>
      <c r="C167" s="86">
        <v>0</v>
      </c>
      <c r="D167" s="86">
        <v>0</v>
      </c>
      <c r="E167" s="86">
        <v>0</v>
      </c>
      <c r="F167" s="90">
        <v>2.1880819366852901E-2</v>
      </c>
      <c r="G167" s="86">
        <v>0</v>
      </c>
      <c r="H167" s="86">
        <v>0</v>
      </c>
      <c r="I167" s="86">
        <v>0</v>
      </c>
    </row>
    <row r="168" spans="1:9" ht="15" customHeight="1" x14ac:dyDescent="0.25">
      <c r="A168" s="8">
        <v>46119</v>
      </c>
      <c r="B168" s="87">
        <v>0</v>
      </c>
      <c r="C168" s="87">
        <v>0</v>
      </c>
      <c r="D168" s="88">
        <v>-7.1428571428566701E-4</v>
      </c>
      <c r="E168" s="87">
        <v>0</v>
      </c>
      <c r="F168" s="88">
        <v>-4.7835990888382598E-2</v>
      </c>
      <c r="G168" s="87">
        <v>0</v>
      </c>
      <c r="H168" s="87">
        <v>0</v>
      </c>
      <c r="I168" s="87">
        <v>0</v>
      </c>
    </row>
    <row r="169" spans="1:9" ht="15" customHeight="1" x14ac:dyDescent="0.25">
      <c r="A169" s="5">
        <v>46121</v>
      </c>
      <c r="B169" s="86">
        <v>0</v>
      </c>
      <c r="C169" s="86">
        <v>0</v>
      </c>
      <c r="D169" s="86">
        <v>0</v>
      </c>
      <c r="E169" s="86">
        <v>0</v>
      </c>
      <c r="F169" s="89">
        <v>-1.9138755980861202E-2</v>
      </c>
      <c r="G169" s="86">
        <v>0</v>
      </c>
      <c r="H169" s="86">
        <v>0</v>
      </c>
      <c r="I169" s="86">
        <v>0</v>
      </c>
    </row>
    <row r="170" spans="1:9" ht="15" customHeight="1" x14ac:dyDescent="0.25">
      <c r="A170" s="8">
        <v>46124</v>
      </c>
      <c r="B170" s="87">
        <v>0</v>
      </c>
      <c r="C170" s="87">
        <v>0</v>
      </c>
      <c r="D170" s="87">
        <v>0</v>
      </c>
      <c r="E170" s="87">
        <v>0</v>
      </c>
      <c r="F170" s="91">
        <v>1.9512195121951199E-2</v>
      </c>
      <c r="G170" s="87">
        <v>0</v>
      </c>
      <c r="H170" s="87">
        <v>0</v>
      </c>
      <c r="I170" s="87">
        <v>0</v>
      </c>
    </row>
    <row r="171" spans="1:9" ht="15" customHeight="1" x14ac:dyDescent="0.25">
      <c r="A171" s="5">
        <v>46126</v>
      </c>
      <c r="B171" s="86">
        <v>0</v>
      </c>
      <c r="C171" s="86">
        <v>0</v>
      </c>
      <c r="D171" s="89">
        <v>-7.1479628305937105E-4</v>
      </c>
      <c r="E171" s="90">
        <v>3.9952057530956398E-4</v>
      </c>
      <c r="F171" s="89">
        <v>-1.9138755980861202E-2</v>
      </c>
      <c r="G171" s="86">
        <v>0</v>
      </c>
      <c r="H171" s="86">
        <v>0</v>
      </c>
      <c r="I171" s="86">
        <v>0</v>
      </c>
    </row>
    <row r="172" spans="1:9" ht="15" customHeight="1" x14ac:dyDescent="0.25">
      <c r="A172" s="8">
        <v>46128</v>
      </c>
      <c r="B172" s="87">
        <v>0</v>
      </c>
      <c r="C172" s="87">
        <v>0</v>
      </c>
      <c r="D172" s="88">
        <v>-2.1459227467811601E-3</v>
      </c>
      <c r="E172" s="87">
        <v>0</v>
      </c>
      <c r="F172" s="88">
        <v>-2.9268292682926899E-3</v>
      </c>
      <c r="G172" s="87">
        <v>0</v>
      </c>
      <c r="H172" s="87">
        <v>0</v>
      </c>
      <c r="I172" s="87">
        <v>0</v>
      </c>
    </row>
    <row r="173" spans="1:9" ht="15" customHeight="1" x14ac:dyDescent="0.25">
      <c r="A173" s="5">
        <v>46131</v>
      </c>
      <c r="B173" s="86">
        <v>0</v>
      </c>
      <c r="C173" s="86">
        <v>0</v>
      </c>
      <c r="D173" s="90">
        <v>2.1505376344086499E-3</v>
      </c>
      <c r="E173" s="86">
        <v>0</v>
      </c>
      <c r="F173" s="90">
        <v>2.93542074363984E-3</v>
      </c>
      <c r="G173" s="86">
        <v>0</v>
      </c>
      <c r="H173" s="86">
        <v>0</v>
      </c>
      <c r="I173" s="86">
        <v>0</v>
      </c>
    </row>
    <row r="174" spans="1:9" ht="15" customHeight="1" x14ac:dyDescent="0.25">
      <c r="A174" s="8">
        <v>46133</v>
      </c>
      <c r="B174" s="87">
        <v>0</v>
      </c>
      <c r="C174" s="87">
        <v>0</v>
      </c>
      <c r="D174" s="87">
        <v>0</v>
      </c>
      <c r="E174" s="87">
        <v>0</v>
      </c>
      <c r="F174" s="91">
        <v>1.46341463414634E-2</v>
      </c>
      <c r="G174" s="87">
        <v>0</v>
      </c>
      <c r="H174" s="87">
        <v>0</v>
      </c>
      <c r="I174" s="87">
        <v>0</v>
      </c>
    </row>
    <row r="175" spans="1:9" ht="15" customHeight="1" x14ac:dyDescent="0.25">
      <c r="A175" s="5">
        <v>46135</v>
      </c>
      <c r="B175" s="86">
        <v>0</v>
      </c>
      <c r="C175" s="86">
        <v>0</v>
      </c>
      <c r="D175" s="86">
        <v>0</v>
      </c>
      <c r="E175" s="86">
        <v>0</v>
      </c>
      <c r="F175" s="89">
        <v>-4.8076923076922901E-4</v>
      </c>
      <c r="G175" s="86">
        <v>0</v>
      </c>
      <c r="H175" s="86">
        <v>0</v>
      </c>
      <c r="I175" s="86">
        <v>0</v>
      </c>
    </row>
    <row r="176" spans="1:9" ht="15" customHeight="1" x14ac:dyDescent="0.25">
      <c r="A176" s="8">
        <v>46138</v>
      </c>
      <c r="B176" s="87">
        <v>0</v>
      </c>
      <c r="C176" s="87">
        <v>0</v>
      </c>
      <c r="D176" s="87">
        <v>0</v>
      </c>
      <c r="E176" s="87">
        <v>0</v>
      </c>
      <c r="F176" s="91">
        <v>5.2910052910053497E-3</v>
      </c>
      <c r="G176" s="87">
        <v>0</v>
      </c>
      <c r="H176" s="87">
        <v>0</v>
      </c>
      <c r="I176" s="87">
        <v>0</v>
      </c>
    </row>
    <row r="177" spans="1:9" ht="15" customHeight="1" x14ac:dyDescent="0.25">
      <c r="A177" s="5">
        <v>46140</v>
      </c>
      <c r="B177" s="86">
        <v>0</v>
      </c>
      <c r="C177" s="86">
        <v>0</v>
      </c>
      <c r="D177" s="86">
        <v>0</v>
      </c>
      <c r="E177" s="86">
        <v>0</v>
      </c>
      <c r="F177" s="86">
        <v>0</v>
      </c>
      <c r="G177" s="86">
        <v>0</v>
      </c>
      <c r="H177" s="86">
        <v>0</v>
      </c>
      <c r="I177" s="90">
        <v>0.1</v>
      </c>
    </row>
    <row r="178" spans="1:9" ht="15" customHeight="1" x14ac:dyDescent="0.25">
      <c r="A178" s="8">
        <v>46142</v>
      </c>
      <c r="B178" s="87">
        <v>0</v>
      </c>
      <c r="C178" s="87">
        <v>0</v>
      </c>
      <c r="D178" s="87">
        <v>0</v>
      </c>
      <c r="E178" s="87">
        <v>0</v>
      </c>
      <c r="F178" s="87">
        <v>0</v>
      </c>
      <c r="G178" s="87">
        <v>0</v>
      </c>
      <c r="H178" s="87">
        <v>0</v>
      </c>
      <c r="I178" s="87">
        <v>0</v>
      </c>
    </row>
    <row r="179" spans="1:9" ht="15" customHeight="1" x14ac:dyDescent="0.25">
      <c r="A179" s="5">
        <v>46145</v>
      </c>
      <c r="B179" s="86">
        <v>0</v>
      </c>
      <c r="C179" s="86">
        <v>0</v>
      </c>
      <c r="D179" s="90">
        <v>7.1530758226034897E-4</v>
      </c>
      <c r="E179" s="86">
        <v>0</v>
      </c>
      <c r="F179" s="86">
        <v>0</v>
      </c>
      <c r="G179" s="86">
        <v>0</v>
      </c>
      <c r="H179" s="86">
        <v>0</v>
      </c>
      <c r="I179" s="86">
        <v>0</v>
      </c>
    </row>
    <row r="180" spans="1:9" ht="15" customHeight="1" x14ac:dyDescent="0.25">
      <c r="A180" s="8">
        <v>46147</v>
      </c>
      <c r="B180" s="88">
        <v>-2.89855072463763E-3</v>
      </c>
      <c r="C180" s="87">
        <v>0</v>
      </c>
      <c r="D180" s="88">
        <v>-2.0729092208720601E-2</v>
      </c>
      <c r="E180" s="87">
        <v>0</v>
      </c>
      <c r="F180" s="87">
        <v>0</v>
      </c>
      <c r="G180" s="87">
        <v>0</v>
      </c>
      <c r="H180" s="91">
        <v>8.9743589743589702E-2</v>
      </c>
      <c r="I180" s="88">
        <v>-3.67965367965368E-2</v>
      </c>
    </row>
    <row r="181" spans="1:9" ht="15" customHeight="1" x14ac:dyDescent="0.25">
      <c r="A181" s="5">
        <v>46149</v>
      </c>
      <c r="B181" s="86">
        <v>0</v>
      </c>
      <c r="C181" s="86">
        <v>0</v>
      </c>
      <c r="D181" s="90">
        <v>2.04379562043795E-2</v>
      </c>
      <c r="E181" s="90">
        <v>7.9872204472852804E-4</v>
      </c>
      <c r="F181" s="86">
        <v>0</v>
      </c>
      <c r="G181" s="86">
        <v>0</v>
      </c>
      <c r="H181" s="86">
        <v>0</v>
      </c>
      <c r="I181" s="86">
        <v>0</v>
      </c>
    </row>
    <row r="182" spans="1:9" ht="15" customHeight="1" x14ac:dyDescent="0.25">
      <c r="A182" s="8">
        <v>46152</v>
      </c>
      <c r="B182" s="91">
        <v>2.9069767441860499E-3</v>
      </c>
      <c r="C182" s="87">
        <v>0</v>
      </c>
      <c r="D182" s="87">
        <v>0</v>
      </c>
      <c r="E182" s="87">
        <v>0</v>
      </c>
      <c r="F182" s="87">
        <v>0</v>
      </c>
      <c r="G182" s="87">
        <v>0</v>
      </c>
      <c r="H182" s="87">
        <v>0</v>
      </c>
      <c r="I182" s="87">
        <v>0</v>
      </c>
    </row>
    <row r="183" spans="1:9" ht="15" customHeight="1" x14ac:dyDescent="0.25">
      <c r="A183" s="5">
        <v>46154</v>
      </c>
      <c r="B183" s="86">
        <v>0</v>
      </c>
      <c r="C183" s="86">
        <v>0</v>
      </c>
      <c r="D183" s="86">
        <v>0</v>
      </c>
      <c r="E183" s="86">
        <v>0</v>
      </c>
      <c r="F183" s="86">
        <v>0</v>
      </c>
      <c r="G183" s="86">
        <v>0</v>
      </c>
      <c r="H183" s="86">
        <v>0</v>
      </c>
      <c r="I183" s="86">
        <v>0</v>
      </c>
    </row>
    <row r="184" spans="1:9" ht="15" customHeight="1" x14ac:dyDescent="0.25">
      <c r="A184" s="8">
        <v>46156</v>
      </c>
      <c r="B184" s="87">
        <v>0</v>
      </c>
      <c r="C184" s="87">
        <v>0</v>
      </c>
      <c r="D184" s="91">
        <v>7.1530758226034897E-4</v>
      </c>
      <c r="E184" s="87">
        <v>0</v>
      </c>
      <c r="F184" s="87">
        <v>0</v>
      </c>
      <c r="G184" s="87">
        <v>0</v>
      </c>
      <c r="H184" s="87">
        <v>0</v>
      </c>
      <c r="I184" s="87">
        <v>0</v>
      </c>
    </row>
    <row r="185" spans="1:9" ht="15" customHeight="1" x14ac:dyDescent="0.25">
      <c r="A185" s="5">
        <v>46159</v>
      </c>
      <c r="B185" s="86">
        <v>0</v>
      </c>
      <c r="C185" s="86">
        <v>0</v>
      </c>
      <c r="D185" s="86">
        <v>0</v>
      </c>
      <c r="E185" s="86">
        <v>0</v>
      </c>
      <c r="F185" s="86">
        <v>0</v>
      </c>
      <c r="G185" s="86">
        <v>0</v>
      </c>
      <c r="H185" s="86">
        <v>0</v>
      </c>
      <c r="I185" s="86">
        <v>0</v>
      </c>
    </row>
    <row r="186" spans="1:9" ht="15" customHeight="1" x14ac:dyDescent="0.25">
      <c r="A186" s="8">
        <v>46161</v>
      </c>
      <c r="B186" s="87">
        <v>0</v>
      </c>
      <c r="C186" s="87">
        <v>0</v>
      </c>
      <c r="D186" s="88">
        <v>-1.42959256611863E-3</v>
      </c>
      <c r="E186" s="87">
        <v>0</v>
      </c>
      <c r="F186" s="88">
        <v>-1.00478468899522E-2</v>
      </c>
      <c r="G186" s="87">
        <v>0</v>
      </c>
      <c r="H186" s="88">
        <v>-8.2352941176470601E-2</v>
      </c>
      <c r="I186" s="87">
        <v>0</v>
      </c>
    </row>
    <row r="187" spans="1:9" ht="15" customHeight="1" x14ac:dyDescent="0.25">
      <c r="A187" s="5">
        <v>46163</v>
      </c>
      <c r="B187" s="89">
        <v>-2.89855072463763E-3</v>
      </c>
      <c r="C187" s="86">
        <v>0</v>
      </c>
      <c r="D187" s="86">
        <v>0</v>
      </c>
      <c r="E187" s="86">
        <v>0</v>
      </c>
      <c r="F187" s="86">
        <v>0</v>
      </c>
      <c r="G187" s="86">
        <v>0</v>
      </c>
      <c r="H187" s="86">
        <v>0</v>
      </c>
      <c r="I187" s="86">
        <v>0</v>
      </c>
    </row>
    <row r="188" spans="1:9" ht="15" customHeight="1" x14ac:dyDescent="0.25">
      <c r="A188" s="8">
        <v>46166</v>
      </c>
      <c r="B188" s="87">
        <v>0</v>
      </c>
      <c r="C188" s="87">
        <v>0</v>
      </c>
      <c r="D188" s="87">
        <v>0</v>
      </c>
      <c r="E188" s="87">
        <v>0</v>
      </c>
      <c r="F188" s="91">
        <v>4.8332527791195002E-4</v>
      </c>
      <c r="G188" s="87">
        <v>0</v>
      </c>
      <c r="H188" s="87">
        <v>0</v>
      </c>
      <c r="I188" s="87">
        <v>0</v>
      </c>
    </row>
    <row r="189" spans="1:9" ht="15" customHeight="1" x14ac:dyDescent="0.25">
      <c r="A189" s="5">
        <v>46168</v>
      </c>
      <c r="B189" s="86">
        <v>0</v>
      </c>
      <c r="C189" s="86">
        <v>0</v>
      </c>
      <c r="D189" s="90">
        <v>7.1581961345734701E-4</v>
      </c>
      <c r="E189" s="90">
        <v>1.5961691939345699E-3</v>
      </c>
      <c r="F189" s="86">
        <v>0</v>
      </c>
      <c r="G189" s="86">
        <v>0</v>
      </c>
      <c r="H189" s="86">
        <v>0</v>
      </c>
      <c r="I189" s="86">
        <v>0</v>
      </c>
    </row>
    <row r="190" spans="1:9" ht="15" customHeight="1" x14ac:dyDescent="0.25">
      <c r="A190" s="8">
        <v>46173</v>
      </c>
      <c r="B190" s="87">
        <v>0</v>
      </c>
      <c r="C190" s="87">
        <v>0</v>
      </c>
      <c r="D190" s="87">
        <v>0</v>
      </c>
      <c r="E190" s="87">
        <v>0</v>
      </c>
      <c r="F190" s="88">
        <v>-9.6618357487920903E-4</v>
      </c>
      <c r="G190" s="87">
        <v>0</v>
      </c>
      <c r="H190" s="87">
        <v>0</v>
      </c>
      <c r="I190" s="87">
        <v>0</v>
      </c>
    </row>
    <row r="191" spans="1:9" ht="15" customHeight="1" x14ac:dyDescent="0.25">
      <c r="A191" s="5">
        <v>46175</v>
      </c>
      <c r="B191" s="86">
        <v>0</v>
      </c>
      <c r="C191" s="86">
        <v>0</v>
      </c>
      <c r="D191" s="86">
        <v>0</v>
      </c>
      <c r="E191" s="86">
        <v>0</v>
      </c>
      <c r="F191" s="90">
        <v>4.8355899419738602E-4</v>
      </c>
      <c r="G191" s="86">
        <v>0</v>
      </c>
      <c r="H191" s="86">
        <v>0</v>
      </c>
      <c r="I191" s="86">
        <v>0</v>
      </c>
    </row>
    <row r="192" spans="1:9" ht="15" customHeight="1" x14ac:dyDescent="0.25">
      <c r="A192" s="8">
        <v>46177</v>
      </c>
      <c r="B192" s="87">
        <v>0</v>
      </c>
      <c r="C192" s="87">
        <v>0</v>
      </c>
      <c r="D192" s="87">
        <v>0</v>
      </c>
      <c r="E192" s="87">
        <v>0</v>
      </c>
      <c r="F192" s="88">
        <v>-9.6665055582412197E-4</v>
      </c>
      <c r="G192" s="87">
        <v>0</v>
      </c>
      <c r="H192" s="87">
        <v>0</v>
      </c>
      <c r="I192" s="87">
        <v>0</v>
      </c>
    </row>
    <row r="193" spans="1:9" ht="15" customHeight="1" x14ac:dyDescent="0.25">
      <c r="A193" s="5">
        <v>46180</v>
      </c>
      <c r="B193" s="86">
        <v>0</v>
      </c>
      <c r="C193" s="86">
        <v>0</v>
      </c>
      <c r="D193" s="89">
        <v>-7.1530758226034897E-4</v>
      </c>
      <c r="E193" s="86">
        <v>0</v>
      </c>
      <c r="F193" s="86">
        <v>0</v>
      </c>
      <c r="G193" s="86">
        <v>0</v>
      </c>
      <c r="H193" s="86">
        <v>0</v>
      </c>
      <c r="I193" s="86">
        <v>0</v>
      </c>
    </row>
    <row r="194" spans="1:9" ht="15" customHeight="1" x14ac:dyDescent="0.25">
      <c r="A194" s="8">
        <v>46182</v>
      </c>
      <c r="B194" s="87">
        <v>0</v>
      </c>
      <c r="C194" s="87">
        <v>0</v>
      </c>
      <c r="D194" s="87">
        <v>0</v>
      </c>
      <c r="E194" s="87">
        <v>0</v>
      </c>
      <c r="F194" s="87">
        <v>0</v>
      </c>
      <c r="G194" s="87">
        <v>0</v>
      </c>
      <c r="H194" s="87">
        <v>0</v>
      </c>
      <c r="I194" s="87">
        <v>0</v>
      </c>
    </row>
    <row r="195" spans="1:9" ht="15" customHeight="1" x14ac:dyDescent="0.25">
      <c r="A195" s="5">
        <v>46184</v>
      </c>
      <c r="B195" s="90">
        <v>2.9069767441860499E-3</v>
      </c>
      <c r="C195" s="86">
        <v>0</v>
      </c>
      <c r="D195" s="89">
        <v>-1.43163922691481E-3</v>
      </c>
      <c r="E195" s="86">
        <v>0</v>
      </c>
      <c r="F195" s="90">
        <v>9.6758587324630196E-4</v>
      </c>
      <c r="G195" s="86">
        <v>0</v>
      </c>
      <c r="H195" s="86">
        <v>0</v>
      </c>
      <c r="I195" s="86">
        <v>0</v>
      </c>
    </row>
    <row r="196" spans="1:9" ht="15" customHeight="1" x14ac:dyDescent="0.25">
      <c r="A196" s="8">
        <v>46187</v>
      </c>
      <c r="B196" s="87">
        <v>0</v>
      </c>
      <c r="C196" s="87">
        <v>0</v>
      </c>
      <c r="D196" s="91">
        <v>1.4336917562725001E-3</v>
      </c>
      <c r="E196" s="87">
        <v>0</v>
      </c>
      <c r="F196" s="91">
        <v>1.0149830836152699E-2</v>
      </c>
      <c r="G196" s="87">
        <v>0</v>
      </c>
      <c r="H196" s="87">
        <v>0</v>
      </c>
      <c r="I196" s="87">
        <v>0</v>
      </c>
    </row>
    <row r="197" spans="1:9" ht="15" customHeight="1" x14ac:dyDescent="0.25">
      <c r="A197" s="5">
        <v>46190</v>
      </c>
      <c r="B197" s="86">
        <v>0</v>
      </c>
      <c r="C197" s="86">
        <v>0</v>
      </c>
      <c r="D197" s="90">
        <v>7.1581961345734701E-4</v>
      </c>
      <c r="E197" s="86">
        <v>0</v>
      </c>
      <c r="F197" s="90">
        <v>4.97607655502392E-2</v>
      </c>
      <c r="G197" s="86">
        <v>0</v>
      </c>
      <c r="H197" s="86">
        <v>0</v>
      </c>
      <c r="I197" s="86">
        <v>0</v>
      </c>
    </row>
    <row r="198" spans="1:9" ht="15" customHeight="1" x14ac:dyDescent="0.25">
      <c r="A198" s="8">
        <v>46191</v>
      </c>
      <c r="B198" s="88">
        <v>-2.89855072463763E-3</v>
      </c>
      <c r="C198" s="87">
        <v>0</v>
      </c>
      <c r="D198" s="87">
        <v>0</v>
      </c>
      <c r="E198" s="87">
        <v>0</v>
      </c>
      <c r="F198" s="91">
        <v>4.8313582497720997E-2</v>
      </c>
      <c r="G198" s="87">
        <v>0</v>
      </c>
      <c r="H198" s="87">
        <v>0</v>
      </c>
      <c r="I198" s="87">
        <v>0</v>
      </c>
    </row>
    <row r="199" spans="1:9" ht="15" customHeight="1" x14ac:dyDescent="0.25">
      <c r="A199" s="5">
        <v>46194</v>
      </c>
      <c r="B199" s="86">
        <v>0</v>
      </c>
      <c r="C199" s="86">
        <v>0</v>
      </c>
      <c r="D199" s="90">
        <v>1.4306151645206999E-3</v>
      </c>
      <c r="E199" s="86">
        <v>0</v>
      </c>
      <c r="F199" s="86">
        <v>0</v>
      </c>
      <c r="G199" s="86">
        <v>0</v>
      </c>
      <c r="H199" s="86">
        <v>0</v>
      </c>
      <c r="I199" s="86">
        <v>0</v>
      </c>
    </row>
    <row r="200" spans="1:9" ht="15" customHeight="1" x14ac:dyDescent="0.25">
      <c r="A200" s="8">
        <v>46196</v>
      </c>
      <c r="B200" s="87">
        <v>0</v>
      </c>
      <c r="C200" s="87">
        <v>0</v>
      </c>
      <c r="D200" s="87">
        <v>0</v>
      </c>
      <c r="E200" s="87">
        <v>0</v>
      </c>
      <c r="F200" s="87">
        <v>0</v>
      </c>
      <c r="G200" s="87">
        <v>0</v>
      </c>
      <c r="H200" s="87">
        <v>0</v>
      </c>
      <c r="I200" s="87">
        <v>0</v>
      </c>
    </row>
    <row r="201" spans="1:9" ht="15" customHeight="1" x14ac:dyDescent="0.25">
      <c r="A201" s="5">
        <v>46201</v>
      </c>
      <c r="B201" s="86">
        <v>0</v>
      </c>
      <c r="C201" s="86">
        <v>0</v>
      </c>
      <c r="D201" s="86">
        <v>0</v>
      </c>
      <c r="E201" s="86">
        <v>0</v>
      </c>
      <c r="F201" s="86">
        <v>0</v>
      </c>
      <c r="G201" s="86">
        <v>0</v>
      </c>
      <c r="H201" s="86">
        <v>0</v>
      </c>
      <c r="I201" s="86">
        <v>0</v>
      </c>
    </row>
    <row r="202" spans="1:9" ht="15" customHeight="1" x14ac:dyDescent="0.25">
      <c r="A202" s="8">
        <v>46203</v>
      </c>
      <c r="B202" s="87">
        <v>0</v>
      </c>
      <c r="C202" s="87">
        <v>0</v>
      </c>
      <c r="D202" s="87">
        <v>0</v>
      </c>
      <c r="E202" s="87">
        <v>0</v>
      </c>
      <c r="F202" s="87">
        <v>0</v>
      </c>
      <c r="G202" s="87">
        <v>0</v>
      </c>
      <c r="H202" s="87">
        <v>0</v>
      </c>
      <c r="I202" s="87">
        <v>0</v>
      </c>
    </row>
    <row r="203" spans="1:9" ht="15" customHeight="1" x14ac:dyDescent="0.25">
      <c r="A203" s="5">
        <v>46209</v>
      </c>
      <c r="B203" s="90">
        <v>2.9069767441860499E-3</v>
      </c>
      <c r="C203" s="86">
        <v>0</v>
      </c>
      <c r="D203" s="86">
        <v>0</v>
      </c>
      <c r="E203" s="86">
        <v>0</v>
      </c>
      <c r="F203" s="86">
        <v>0</v>
      </c>
      <c r="G203" s="86">
        <v>0</v>
      </c>
      <c r="H203" s="86">
        <v>0</v>
      </c>
      <c r="I203" s="86">
        <v>0</v>
      </c>
    </row>
  </sheetData>
  <mergeCells count="3">
    <mergeCell ref="A1:I1"/>
    <mergeCell ref="A2:I2"/>
    <mergeCell ref="A3:I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7"/>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36" customWidth="1"/>
    <col min="2" max="9" width="18" customWidth="1"/>
  </cols>
  <sheetData>
    <row r="1" spans="1:10" ht="37.5" customHeight="1" x14ac:dyDescent="0.25">
      <c r="A1" s="340" t="s">
        <v>67</v>
      </c>
      <c r="B1" s="341"/>
      <c r="C1" s="341"/>
      <c r="D1" s="341"/>
      <c r="E1" s="341"/>
      <c r="F1" s="341"/>
      <c r="G1" s="341"/>
      <c r="H1" s="341"/>
      <c r="I1" s="341"/>
      <c r="J1" s="341"/>
    </row>
    <row r="2" spans="1:10" ht="19.5" customHeight="1" x14ac:dyDescent="0.25">
      <c r="A2" s="342" t="s">
        <v>68</v>
      </c>
      <c r="B2" s="341"/>
      <c r="C2" s="341"/>
      <c r="D2" s="341"/>
      <c r="E2" s="341"/>
      <c r="F2" s="341"/>
      <c r="G2" s="341"/>
      <c r="H2" s="341"/>
      <c r="I2" s="341"/>
      <c r="J2" s="341"/>
    </row>
    <row r="3" spans="1:10" ht="9.75" customHeight="1" x14ac:dyDescent="0.25">
      <c r="A3" s="343"/>
      <c r="B3" s="341"/>
      <c r="C3" s="341"/>
      <c r="D3" s="341"/>
      <c r="E3" s="341"/>
      <c r="F3" s="341"/>
      <c r="G3" s="341"/>
      <c r="H3" s="341"/>
      <c r="I3" s="341"/>
      <c r="J3" s="341"/>
    </row>
    <row r="4" spans="1:10" ht="30" customHeight="1" x14ac:dyDescent="0.25">
      <c r="A4" s="92" t="s">
        <v>69</v>
      </c>
      <c r="B4" s="2" t="s">
        <v>3</v>
      </c>
      <c r="C4" s="2" t="s">
        <v>4</v>
      </c>
      <c r="D4" s="2" t="s">
        <v>5</v>
      </c>
      <c r="E4" s="2" t="s">
        <v>6</v>
      </c>
      <c r="F4" s="2" t="s">
        <v>7</v>
      </c>
      <c r="G4" s="2" t="s">
        <v>8</v>
      </c>
      <c r="H4" s="2" t="s">
        <v>9</v>
      </c>
      <c r="I4" s="2" t="s">
        <v>10</v>
      </c>
    </row>
    <row r="5" spans="1:10" ht="15.75" customHeight="1" x14ac:dyDescent="0.25">
      <c r="A5" s="93" t="s">
        <v>70</v>
      </c>
      <c r="B5" s="94"/>
      <c r="C5" s="94"/>
      <c r="D5" s="94"/>
      <c r="E5" s="94"/>
      <c r="F5" s="94"/>
      <c r="G5" s="94"/>
      <c r="H5" s="94"/>
      <c r="I5" s="94"/>
    </row>
    <row r="6" spans="1:10" ht="21.75" customHeight="1" x14ac:dyDescent="0.25">
      <c r="A6" s="95" t="s">
        <v>71</v>
      </c>
      <c r="B6" s="96">
        <v>440</v>
      </c>
      <c r="C6" s="96">
        <v>290</v>
      </c>
      <c r="D6" s="96">
        <v>1400</v>
      </c>
      <c r="E6" s="96">
        <v>2300</v>
      </c>
      <c r="F6" s="96">
        <v>2300</v>
      </c>
      <c r="G6" s="96">
        <v>450</v>
      </c>
      <c r="H6" s="96">
        <v>760</v>
      </c>
      <c r="I6" s="96">
        <v>500</v>
      </c>
    </row>
    <row r="7" spans="1:10" ht="21.75" customHeight="1" x14ac:dyDescent="0.25">
      <c r="A7" s="95" t="s">
        <v>72</v>
      </c>
      <c r="B7" s="96">
        <v>345</v>
      </c>
      <c r="C7" s="96">
        <v>290</v>
      </c>
      <c r="D7" s="96">
        <v>1400</v>
      </c>
      <c r="E7" s="96">
        <v>2510</v>
      </c>
      <c r="F7" s="96">
        <v>2300</v>
      </c>
      <c r="G7" s="96">
        <v>360</v>
      </c>
      <c r="H7" s="96">
        <v>780</v>
      </c>
      <c r="I7" s="96">
        <v>445</v>
      </c>
    </row>
    <row r="8" spans="1:10" ht="21.75" customHeight="1" x14ac:dyDescent="0.25">
      <c r="A8" s="95" t="s">
        <v>73</v>
      </c>
      <c r="B8" s="97">
        <v>-0.21590909090909099</v>
      </c>
      <c r="C8" s="97">
        <v>0</v>
      </c>
      <c r="D8" s="97">
        <v>0</v>
      </c>
      <c r="E8" s="78">
        <v>9.1304347826086998E-2</v>
      </c>
      <c r="F8" s="97">
        <v>0</v>
      </c>
      <c r="G8" s="97">
        <v>-0.2</v>
      </c>
      <c r="H8" s="78">
        <v>2.6315789473684199E-2</v>
      </c>
      <c r="I8" s="97">
        <v>-0.11</v>
      </c>
    </row>
    <row r="9" spans="1:10" ht="15.75" customHeight="1" x14ac:dyDescent="0.25">
      <c r="A9" s="98" t="s">
        <v>74</v>
      </c>
      <c r="B9" s="94"/>
      <c r="C9" s="94"/>
      <c r="D9" s="94"/>
      <c r="E9" s="94"/>
      <c r="F9" s="94"/>
      <c r="G9" s="94"/>
      <c r="H9" s="94"/>
      <c r="I9" s="94"/>
    </row>
    <row r="10" spans="1:10" ht="21.75" customHeight="1" x14ac:dyDescent="0.25">
      <c r="A10" s="99" t="s">
        <v>75</v>
      </c>
      <c r="B10" s="100">
        <v>95</v>
      </c>
      <c r="C10" s="101">
        <v>0</v>
      </c>
      <c r="D10" s="100">
        <v>77.77</v>
      </c>
      <c r="E10" s="100">
        <v>676</v>
      </c>
      <c r="F10" s="100">
        <v>125</v>
      </c>
      <c r="G10" s="100">
        <v>120</v>
      </c>
      <c r="H10" s="101">
        <v>0</v>
      </c>
      <c r="I10" s="100">
        <v>251.5</v>
      </c>
    </row>
    <row r="11" spans="1:10" ht="21.75" customHeight="1" x14ac:dyDescent="0.25">
      <c r="A11" s="102" t="s">
        <v>76</v>
      </c>
      <c r="B11" s="103">
        <v>30</v>
      </c>
      <c r="C11" s="104">
        <v>0</v>
      </c>
      <c r="D11" s="103">
        <v>77.77</v>
      </c>
      <c r="E11" s="103">
        <v>340</v>
      </c>
      <c r="F11" s="103">
        <v>125</v>
      </c>
      <c r="G11" s="104">
        <v>0</v>
      </c>
      <c r="H11" s="104">
        <v>0</v>
      </c>
      <c r="I11" s="103">
        <v>21</v>
      </c>
    </row>
    <row r="12" spans="1:10" ht="21.75" customHeight="1" x14ac:dyDescent="0.25">
      <c r="A12" s="102" t="s">
        <v>77</v>
      </c>
      <c r="B12" s="105">
        <v>6.8181818181818205E-2</v>
      </c>
      <c r="C12" s="106">
        <v>0</v>
      </c>
      <c r="D12" s="105">
        <v>5.5550000000000002E-2</v>
      </c>
      <c r="E12" s="105">
        <v>0.147826086956522</v>
      </c>
      <c r="F12" s="105">
        <v>5.4347826086956499E-2</v>
      </c>
      <c r="G12" s="106">
        <v>0</v>
      </c>
      <c r="H12" s="106">
        <v>0</v>
      </c>
      <c r="I12" s="105">
        <v>4.2000000000000003E-2</v>
      </c>
    </row>
    <row r="13" spans="1:10" ht="15.75" customHeight="1" x14ac:dyDescent="0.25">
      <c r="A13" s="107" t="s">
        <v>78</v>
      </c>
      <c r="B13" s="108"/>
      <c r="C13" s="108"/>
      <c r="D13" s="108"/>
      <c r="E13" s="108"/>
      <c r="F13" s="108"/>
      <c r="G13" s="108"/>
      <c r="H13" s="108"/>
      <c r="I13" s="108"/>
    </row>
    <row r="14" spans="1:10" ht="15.75" customHeight="1" x14ac:dyDescent="0.25">
      <c r="A14" s="93" t="s">
        <v>79</v>
      </c>
      <c r="B14" s="94"/>
      <c r="C14" s="94"/>
      <c r="D14" s="94"/>
      <c r="E14" s="94"/>
      <c r="F14" s="94"/>
      <c r="G14" s="94"/>
      <c r="H14" s="94"/>
      <c r="I14" s="94"/>
    </row>
    <row r="15" spans="1:10" ht="21.75" customHeight="1" x14ac:dyDescent="0.25">
      <c r="A15" s="109" t="s">
        <v>80</v>
      </c>
      <c r="B15" s="110">
        <v>-9.2300784440928596E-2</v>
      </c>
      <c r="C15" s="111">
        <v>3.0753501998326299E-5</v>
      </c>
      <c r="D15" s="111">
        <v>4.9231601947075099E-3</v>
      </c>
      <c r="E15" s="111">
        <v>6.6991717016538194E-2</v>
      </c>
      <c r="F15" s="111">
        <v>1.43319025452766E-2</v>
      </c>
      <c r="G15" s="110">
        <v>-0.13071875727412499</v>
      </c>
      <c r="H15" s="111">
        <v>6.9130028818524203E-2</v>
      </c>
      <c r="I15" s="110">
        <v>-5.9290795825206702E-2</v>
      </c>
    </row>
    <row r="16" spans="1:10" ht="21.75" customHeight="1" x14ac:dyDescent="0.25">
      <c r="A16" s="109" t="s">
        <v>81</v>
      </c>
      <c r="B16" s="112">
        <v>0.31922964789226199</v>
      </c>
      <c r="C16" s="112">
        <v>7.8529042365304402E-3</v>
      </c>
      <c r="D16" s="112">
        <v>9.9173330905966597E-2</v>
      </c>
      <c r="E16" s="112">
        <v>0.12552543005686401</v>
      </c>
      <c r="F16" s="112">
        <v>0.16914368649927899</v>
      </c>
      <c r="G16" s="112">
        <v>9.9080570512605298E-2</v>
      </c>
      <c r="H16" s="112">
        <v>0.27628011938798502</v>
      </c>
      <c r="I16" s="112">
        <v>0.17045679667158101</v>
      </c>
    </row>
    <row r="17" spans="1:9" ht="21.75" customHeight="1" x14ac:dyDescent="0.25">
      <c r="A17" s="109" t="s">
        <v>82</v>
      </c>
      <c r="B17" s="113">
        <v>-0.38311223675002798</v>
      </c>
      <c r="C17" s="113">
        <v>-3.8163264946730902</v>
      </c>
      <c r="D17" s="113">
        <v>-0.25285870280055101</v>
      </c>
      <c r="E17" s="114">
        <v>0.294695003233853</v>
      </c>
      <c r="F17" s="113">
        <v>-9.2631878723952094E-2</v>
      </c>
      <c r="G17" s="113">
        <v>-1.6221016536605299</v>
      </c>
      <c r="H17" s="114">
        <v>0.14163172111408101</v>
      </c>
      <c r="I17" s="113">
        <v>-0.52383241717983997</v>
      </c>
    </row>
    <row r="18" spans="1:9" ht="21.75" customHeight="1" x14ac:dyDescent="0.25">
      <c r="A18" s="109" t="s">
        <v>83</v>
      </c>
      <c r="B18" s="113">
        <v>-9.4979503607076701E-2</v>
      </c>
      <c r="C18" s="113">
        <v>0</v>
      </c>
      <c r="D18" s="113">
        <v>-0.15815001393806799</v>
      </c>
      <c r="E18" s="114">
        <v>9.6638723976728194E-2</v>
      </c>
      <c r="F18" s="113">
        <v>-7.9784210309145107E-2</v>
      </c>
      <c r="G18" s="113">
        <v>-0.26455245213918399</v>
      </c>
      <c r="H18" s="114">
        <v>6.6723611253162604E-2</v>
      </c>
      <c r="I18" s="113">
        <v>-0.159696437951627</v>
      </c>
    </row>
    <row r="19" spans="1:9" ht="21.75" customHeight="1" x14ac:dyDescent="0.25">
      <c r="A19" s="109" t="s">
        <v>84</v>
      </c>
      <c r="B19" s="113">
        <v>-0.27690235332278601</v>
      </c>
      <c r="C19" s="114">
        <v>4.4900112917556304E-3</v>
      </c>
      <c r="D19" s="114">
        <v>8.92322785290732E-2</v>
      </c>
      <c r="E19" s="114">
        <v>0.87833584532794495</v>
      </c>
      <c r="F19" s="114">
        <v>0.109877919513787</v>
      </c>
      <c r="G19" s="113">
        <v>-0.65359378637062704</v>
      </c>
      <c r="H19" s="114">
        <v>0.66825694524573198</v>
      </c>
      <c r="I19" s="113">
        <v>-0.25556377510865003</v>
      </c>
    </row>
    <row r="20" spans="1:9" ht="21.75" customHeight="1" x14ac:dyDescent="0.25">
      <c r="A20" s="115" t="s">
        <v>85</v>
      </c>
      <c r="B20" s="116">
        <v>-0.33333333333333298</v>
      </c>
      <c r="C20" s="116">
        <v>-6.8493150684931598E-3</v>
      </c>
      <c r="D20" s="116">
        <v>-5.5172413793103697E-2</v>
      </c>
      <c r="E20" s="116">
        <v>-7.6271186440677999E-2</v>
      </c>
      <c r="F20" s="116">
        <v>-0.13043478260869601</v>
      </c>
      <c r="G20" s="116">
        <v>-0.2</v>
      </c>
      <c r="H20" s="116">
        <v>-0.10344827586206901</v>
      </c>
      <c r="I20" s="116">
        <v>-0.23200000000000001</v>
      </c>
    </row>
    <row r="21" spans="1:9" ht="21.75" customHeight="1" x14ac:dyDescent="0.25">
      <c r="A21" s="115" t="s">
        <v>86</v>
      </c>
      <c r="B21" s="117">
        <v>0</v>
      </c>
      <c r="C21" s="117">
        <v>0</v>
      </c>
      <c r="D21" s="116">
        <v>-6.4432024288304897E-3</v>
      </c>
      <c r="E21" s="117">
        <v>0</v>
      </c>
      <c r="F21" s="116">
        <v>-8.9947586891302098E-3</v>
      </c>
      <c r="G21" s="117">
        <v>0</v>
      </c>
      <c r="H21" s="117">
        <v>0</v>
      </c>
      <c r="I21" s="117">
        <v>0</v>
      </c>
    </row>
    <row r="22" spans="1:9" ht="21.75" customHeight="1" x14ac:dyDescent="0.25">
      <c r="A22" s="115" t="s">
        <v>87</v>
      </c>
      <c r="B22" s="116">
        <v>-1.9037155897690999E-3</v>
      </c>
      <c r="C22" s="116">
        <v>-1.7883329160556601E-5</v>
      </c>
      <c r="D22" s="116">
        <v>-1.42643456641268E-2</v>
      </c>
      <c r="E22" s="116">
        <v>-8.1390777260611699E-4</v>
      </c>
      <c r="F22" s="116">
        <v>-2.6990843361609701E-2</v>
      </c>
      <c r="G22" s="116">
        <v>-5.6019729717406001E-4</v>
      </c>
      <c r="H22" s="116">
        <v>-1.9736509038727102E-3</v>
      </c>
      <c r="I22" s="116">
        <v>-1.05749975879469E-3</v>
      </c>
    </row>
    <row r="23" spans="1:9" ht="21.75" customHeight="1" x14ac:dyDescent="0.25">
      <c r="A23" s="118" t="s">
        <v>88</v>
      </c>
      <c r="B23" s="119">
        <v>5.9895833333333301E-2</v>
      </c>
      <c r="C23" s="119">
        <v>2.60416666666667E-3</v>
      </c>
      <c r="D23" s="119">
        <v>0.17085427135678399</v>
      </c>
      <c r="E23" s="119">
        <v>0.104166666666667</v>
      </c>
      <c r="F23" s="119">
        <v>0.13793103448275901</v>
      </c>
      <c r="G23" s="120">
        <v>0</v>
      </c>
      <c r="H23" s="119">
        <v>4.0178571428571397E-2</v>
      </c>
      <c r="I23" s="119">
        <v>2.34375E-2</v>
      </c>
    </row>
    <row r="24" spans="1:9" ht="15.75" customHeight="1" x14ac:dyDescent="0.25">
      <c r="A24" s="93" t="s">
        <v>89</v>
      </c>
      <c r="B24" s="94"/>
      <c r="C24" s="94"/>
      <c r="D24" s="94"/>
      <c r="E24" s="94"/>
      <c r="F24" s="94"/>
      <c r="G24" s="94"/>
      <c r="H24" s="94"/>
      <c r="I24" s="94"/>
    </row>
    <row r="25" spans="1:9" ht="21.75" customHeight="1" x14ac:dyDescent="0.25">
      <c r="A25" s="121" t="s">
        <v>90</v>
      </c>
      <c r="B25" s="122">
        <v>384</v>
      </c>
      <c r="C25" s="122">
        <v>384</v>
      </c>
      <c r="D25" s="122">
        <v>199</v>
      </c>
      <c r="E25" s="122">
        <v>384</v>
      </c>
      <c r="F25" s="122">
        <v>348</v>
      </c>
      <c r="G25" s="122">
        <v>384</v>
      </c>
      <c r="H25" s="122">
        <v>224</v>
      </c>
      <c r="I25" s="122">
        <v>384</v>
      </c>
    </row>
    <row r="26" spans="1:9" ht="21.75" customHeight="1" x14ac:dyDescent="0.25">
      <c r="A26" s="123" t="s">
        <v>91</v>
      </c>
      <c r="B26" s="124">
        <v>3</v>
      </c>
      <c r="C26" s="125">
        <v>0</v>
      </c>
      <c r="D26" s="124">
        <v>1</v>
      </c>
      <c r="E26" s="124">
        <v>6</v>
      </c>
      <c r="F26" s="124">
        <v>1</v>
      </c>
      <c r="G26" s="124">
        <v>4</v>
      </c>
      <c r="H26" s="125">
        <v>0</v>
      </c>
      <c r="I26" s="124">
        <v>7</v>
      </c>
    </row>
    <row r="27" spans="1:9" ht="21.75" customHeight="1" x14ac:dyDescent="0.25">
      <c r="A27" s="123" t="s">
        <v>92</v>
      </c>
      <c r="B27" s="124">
        <v>1</v>
      </c>
      <c r="C27" s="125">
        <v>0</v>
      </c>
      <c r="D27" s="124">
        <v>1</v>
      </c>
      <c r="E27" s="124">
        <v>2</v>
      </c>
      <c r="F27" s="124">
        <v>1</v>
      </c>
      <c r="G27" s="125">
        <v>0</v>
      </c>
      <c r="H27" s="125">
        <v>0</v>
      </c>
      <c r="I27" s="124">
        <v>1</v>
      </c>
    </row>
  </sheetData>
  <mergeCells count="3">
    <mergeCell ref="A1:J1"/>
    <mergeCell ref="A3:J3"/>
    <mergeCell ref="A2:J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9"/>
  <sheetViews>
    <sheetView showGridLines="0" zoomScaleNormal="100" workbookViewId="0"/>
  </sheetViews>
  <sheetFormatPr defaultColWidth="8.7109375" defaultRowHeight="15" x14ac:dyDescent="0.25"/>
  <cols>
    <col min="1" max="1" width="22" customWidth="1"/>
    <col min="2" max="10" width="16" customWidth="1"/>
  </cols>
  <sheetData>
    <row r="1" spans="1:11" ht="37.5" customHeight="1" x14ac:dyDescent="0.25">
      <c r="A1" s="340" t="s">
        <v>93</v>
      </c>
      <c r="B1" s="341"/>
      <c r="C1" s="341"/>
      <c r="D1" s="341"/>
      <c r="E1" s="341"/>
      <c r="F1" s="341"/>
      <c r="G1" s="341"/>
      <c r="H1" s="341"/>
      <c r="I1" s="341"/>
      <c r="J1" s="341"/>
      <c r="K1" s="341"/>
    </row>
    <row r="2" spans="1:11" ht="19.5" customHeight="1" x14ac:dyDescent="0.25">
      <c r="A2" s="342" t="s">
        <v>94</v>
      </c>
      <c r="B2" s="341"/>
      <c r="C2" s="341"/>
      <c r="D2" s="341"/>
      <c r="E2" s="341"/>
      <c r="F2" s="341"/>
      <c r="G2" s="341"/>
      <c r="H2" s="341"/>
      <c r="I2" s="341"/>
      <c r="J2" s="341"/>
      <c r="K2" s="341"/>
    </row>
    <row r="3" spans="1:11" ht="9.75" customHeight="1" x14ac:dyDescent="0.25">
      <c r="A3" s="343"/>
      <c r="B3" s="341"/>
      <c r="C3" s="341"/>
      <c r="D3" s="341"/>
      <c r="E3" s="341"/>
      <c r="F3" s="341"/>
      <c r="G3" s="341"/>
      <c r="H3" s="341"/>
      <c r="I3" s="341"/>
      <c r="J3" s="341"/>
      <c r="K3" s="341"/>
    </row>
    <row r="4" spans="1:11" ht="24" customHeight="1" x14ac:dyDescent="0.25">
      <c r="A4" s="345" t="s">
        <v>95</v>
      </c>
      <c r="B4" s="341"/>
      <c r="C4" s="341"/>
      <c r="D4" s="341"/>
      <c r="E4" s="341"/>
      <c r="F4" s="341"/>
      <c r="G4" s="341"/>
      <c r="H4" s="341"/>
      <c r="I4" s="341"/>
      <c r="J4" s="341"/>
      <c r="K4" s="341"/>
    </row>
    <row r="5" spans="1:11" ht="30" customHeight="1" x14ac:dyDescent="0.25">
      <c r="A5" s="92" t="s">
        <v>96</v>
      </c>
      <c r="B5" s="2" t="s">
        <v>3</v>
      </c>
      <c r="C5" s="2" t="s">
        <v>4</v>
      </c>
      <c r="D5" s="2" t="s">
        <v>5</v>
      </c>
      <c r="E5" s="2" t="s">
        <v>6</v>
      </c>
      <c r="F5" s="2" t="s">
        <v>7</v>
      </c>
      <c r="G5" s="2" t="s">
        <v>8</v>
      </c>
      <c r="H5" s="2" t="s">
        <v>9</v>
      </c>
      <c r="I5" s="2" t="s">
        <v>10</v>
      </c>
      <c r="J5" s="1" t="s">
        <v>97</v>
      </c>
    </row>
    <row r="6" spans="1:11" ht="21.75" customHeight="1" x14ac:dyDescent="0.25">
      <c r="A6" s="126" t="s">
        <v>98</v>
      </c>
      <c r="B6" s="127">
        <v>0</v>
      </c>
      <c r="C6" s="127">
        <v>0</v>
      </c>
      <c r="D6" s="127">
        <v>0</v>
      </c>
      <c r="E6" s="127">
        <v>0</v>
      </c>
      <c r="F6" s="128">
        <v>0.206290567094956</v>
      </c>
      <c r="G6" s="127">
        <v>0</v>
      </c>
      <c r="H6" s="127">
        <v>3.5463622997758598E-2</v>
      </c>
      <c r="I6" s="128">
        <v>0.75824580990728596</v>
      </c>
      <c r="J6" s="129">
        <f>SUM(B6:I6)</f>
        <v>1.0000000000000004</v>
      </c>
    </row>
    <row r="7" spans="1:11" ht="21.75" customHeight="1" x14ac:dyDescent="0.25">
      <c r="A7" s="130" t="s">
        <v>99</v>
      </c>
      <c r="B7" s="131">
        <v>1</v>
      </c>
      <c r="C7" s="132">
        <v>0</v>
      </c>
      <c r="D7" s="132">
        <v>0</v>
      </c>
      <c r="E7" s="132">
        <v>0</v>
      </c>
      <c r="F7" s="132">
        <v>0</v>
      </c>
      <c r="G7" s="132">
        <v>0</v>
      </c>
      <c r="H7" s="132">
        <v>0</v>
      </c>
      <c r="I7" s="132">
        <v>0</v>
      </c>
      <c r="J7" s="133">
        <f>SUM(B7:I7)</f>
        <v>1</v>
      </c>
    </row>
    <row r="8" spans="1:11" ht="21.75" customHeight="1" x14ac:dyDescent="0.25">
      <c r="A8" s="134" t="s">
        <v>100</v>
      </c>
      <c r="B8" s="135">
        <v>0</v>
      </c>
      <c r="C8" s="135">
        <v>0</v>
      </c>
      <c r="D8" s="135">
        <v>0</v>
      </c>
      <c r="E8" s="135">
        <v>0</v>
      </c>
      <c r="F8" s="135">
        <v>0</v>
      </c>
      <c r="G8" s="135">
        <v>0</v>
      </c>
      <c r="H8" s="135">
        <v>0</v>
      </c>
      <c r="I8" s="136">
        <v>1</v>
      </c>
      <c r="J8" s="137">
        <f>SUM(B8:I8)</f>
        <v>1</v>
      </c>
    </row>
    <row r="9" spans="1:11" ht="21.75" customHeight="1" x14ac:dyDescent="0.25">
      <c r="A9" s="138" t="s">
        <v>101</v>
      </c>
      <c r="B9" s="139">
        <v>0</v>
      </c>
      <c r="C9" s="140">
        <v>0.96142400130385797</v>
      </c>
      <c r="D9" s="139">
        <v>0</v>
      </c>
      <c r="E9" s="139">
        <v>2.94046628867627E-2</v>
      </c>
      <c r="F9" s="139">
        <v>0</v>
      </c>
      <c r="G9" s="139">
        <v>7.8081011994254601E-3</v>
      </c>
      <c r="H9" s="139">
        <v>0</v>
      </c>
      <c r="I9" s="139">
        <v>1.3632346099539899E-3</v>
      </c>
      <c r="J9" s="141">
        <f>SUM(B9:I9)</f>
        <v>1</v>
      </c>
    </row>
    <row r="10" spans="1:11" ht="21.75" customHeight="1" x14ac:dyDescent="0.25">
      <c r="A10" s="142" t="s">
        <v>102</v>
      </c>
      <c r="B10" s="143">
        <v>0.125</v>
      </c>
      <c r="C10" s="143">
        <v>0.125</v>
      </c>
      <c r="D10" s="143">
        <v>0.125</v>
      </c>
      <c r="E10" s="143">
        <v>0.125</v>
      </c>
      <c r="F10" s="143">
        <v>0.125</v>
      </c>
      <c r="G10" s="143">
        <v>0.125</v>
      </c>
      <c r="H10" s="143">
        <v>0.125</v>
      </c>
      <c r="I10" s="143">
        <v>0.125</v>
      </c>
      <c r="J10" s="144">
        <f>SUM(B10:I10)</f>
        <v>1</v>
      </c>
    </row>
    <row r="13" spans="1:11" ht="24" customHeight="1" x14ac:dyDescent="0.25">
      <c r="A13" s="345" t="s">
        <v>103</v>
      </c>
      <c r="B13" s="341"/>
      <c r="C13" s="341"/>
      <c r="D13" s="341"/>
      <c r="E13" s="341"/>
      <c r="F13" s="341"/>
      <c r="G13" s="341"/>
      <c r="H13" s="341"/>
      <c r="I13" s="341"/>
      <c r="J13" s="341"/>
      <c r="K13" s="341"/>
    </row>
    <row r="14" spans="1:11" ht="30" customHeight="1" x14ac:dyDescent="0.25">
      <c r="A14" s="2" t="s">
        <v>104</v>
      </c>
      <c r="B14" s="2" t="s">
        <v>105</v>
      </c>
      <c r="C14" s="2" t="s">
        <v>106</v>
      </c>
      <c r="D14" s="2" t="s">
        <v>107</v>
      </c>
      <c r="E14" s="2" t="s">
        <v>108</v>
      </c>
      <c r="F14" s="2" t="s">
        <v>109</v>
      </c>
      <c r="G14" s="2" t="s">
        <v>86</v>
      </c>
    </row>
    <row r="15" spans="1:11" ht="21.75" customHeight="1" x14ac:dyDescent="0.25">
      <c r="A15" s="126" t="s">
        <v>98</v>
      </c>
      <c r="B15" s="145">
        <v>0.123698367124127</v>
      </c>
      <c r="C15" s="146">
        <v>0.14182283730209999</v>
      </c>
      <c r="D15" s="147">
        <v>0.66067192637345196</v>
      </c>
      <c r="E15" s="147">
        <v>0.72612980235051205</v>
      </c>
      <c r="F15" s="145">
        <v>-6.7688386238985696E-2</v>
      </c>
      <c r="G15" s="145">
        <v>-4.8033023462825397E-3</v>
      </c>
    </row>
    <row r="16" spans="1:11" ht="21.75" customHeight="1" x14ac:dyDescent="0.25">
      <c r="A16" s="130" t="s">
        <v>99</v>
      </c>
      <c r="B16" s="148">
        <v>-0.12773932903414201</v>
      </c>
      <c r="C16" s="148">
        <v>0.42518986516702301</v>
      </c>
      <c r="D16" s="149">
        <v>-0.37098562773169302</v>
      </c>
      <c r="E16" s="149">
        <v>-9.3473958172678007E-2</v>
      </c>
      <c r="F16" s="150">
        <v>-0.33333333333333298</v>
      </c>
      <c r="G16" s="151">
        <v>0</v>
      </c>
    </row>
    <row r="17" spans="1:7" ht="21.75" customHeight="1" x14ac:dyDescent="0.25">
      <c r="A17" s="134" t="s">
        <v>100</v>
      </c>
      <c r="B17" s="152">
        <v>0.14285741450713799</v>
      </c>
      <c r="C17" s="153">
        <v>0.17702809219218299</v>
      </c>
      <c r="D17" s="154">
        <v>0.63751133003579197</v>
      </c>
      <c r="E17" s="154">
        <v>0.48975344475587301</v>
      </c>
      <c r="F17" s="152">
        <v>-5.1851851851851899E-2</v>
      </c>
      <c r="G17" s="155">
        <v>0</v>
      </c>
    </row>
    <row r="18" spans="1:7" ht="21.75" customHeight="1" x14ac:dyDescent="0.25">
      <c r="A18" s="138" t="s">
        <v>101</v>
      </c>
      <c r="B18" s="156">
        <v>-8.8436194256595897E-3</v>
      </c>
      <c r="C18" s="156">
        <v>6.6958225300850398E-3</v>
      </c>
      <c r="D18" s="157">
        <v>-5.8011721862595804</v>
      </c>
      <c r="E18" s="157">
        <v>-1.89802345412672</v>
      </c>
      <c r="F18" s="158">
        <v>-7.4515053590590297E-3</v>
      </c>
      <c r="G18" s="158">
        <v>-5.0258211026063403E-5</v>
      </c>
    </row>
    <row r="19" spans="1:7" ht="21.75" customHeight="1" x14ac:dyDescent="0.25">
      <c r="A19" s="142" t="s">
        <v>102</v>
      </c>
      <c r="B19" s="159">
        <v>-4.1040110176902003E-3</v>
      </c>
      <c r="C19" s="159">
        <v>6.6333368559633302E-2</v>
      </c>
      <c r="D19" s="160">
        <v>-0.51413054633326605</v>
      </c>
      <c r="E19" s="160">
        <v>-0.45396016282116203</v>
      </c>
      <c r="F19" s="161">
        <v>-4.8831790333563101E-2</v>
      </c>
      <c r="G19" s="161">
        <v>-6.2856125356125399E-3</v>
      </c>
    </row>
  </sheetData>
  <mergeCells count="5">
    <mergeCell ref="A4:K4"/>
    <mergeCell ref="A3:K3"/>
    <mergeCell ref="A2:K2"/>
    <mergeCell ref="A13:K13"/>
    <mergeCell ref="A1:K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showGridLines="0" zoomScaleNormal="100" workbookViewId="0"/>
  </sheetViews>
  <sheetFormatPr defaultColWidth="8.7109375" defaultRowHeight="15" x14ac:dyDescent="0.25"/>
  <cols>
    <col min="1" max="1" width="26" customWidth="1"/>
    <col min="2" max="9" width="18" customWidth="1"/>
  </cols>
  <sheetData>
    <row r="1" spans="1:9" ht="37.5" customHeight="1" x14ac:dyDescent="0.25">
      <c r="A1" s="340" t="s">
        <v>110</v>
      </c>
      <c r="B1" s="341"/>
      <c r="C1" s="341"/>
      <c r="D1" s="341"/>
      <c r="E1" s="341"/>
      <c r="F1" s="341"/>
      <c r="G1" s="341"/>
      <c r="H1" s="341"/>
      <c r="I1" s="341"/>
    </row>
    <row r="2" spans="1:9" ht="19.5" customHeight="1" x14ac:dyDescent="0.25">
      <c r="A2" s="342" t="s">
        <v>111</v>
      </c>
      <c r="B2" s="341"/>
      <c r="C2" s="341"/>
      <c r="D2" s="341"/>
      <c r="E2" s="341"/>
      <c r="F2" s="341"/>
      <c r="G2" s="341"/>
      <c r="H2" s="341"/>
      <c r="I2" s="341"/>
    </row>
    <row r="3" spans="1:9" ht="9.75" customHeight="1" x14ac:dyDescent="0.25">
      <c r="A3" s="343"/>
      <c r="B3" s="341"/>
      <c r="C3" s="341"/>
      <c r="D3" s="341"/>
      <c r="E3" s="341"/>
      <c r="F3" s="341"/>
      <c r="G3" s="341"/>
      <c r="H3" s="341"/>
      <c r="I3" s="341"/>
    </row>
    <row r="4" spans="1:9" ht="30" customHeight="1" x14ac:dyDescent="0.25">
      <c r="A4" s="1" t="s">
        <v>112</v>
      </c>
      <c r="B4" s="2" t="s">
        <v>3</v>
      </c>
      <c r="C4" s="2" t="s">
        <v>4</v>
      </c>
      <c r="D4" s="2" t="s">
        <v>5</v>
      </c>
      <c r="E4" s="2" t="s">
        <v>6</v>
      </c>
      <c r="F4" s="2" t="s">
        <v>7</v>
      </c>
      <c r="G4" s="2" t="s">
        <v>8</v>
      </c>
      <c r="H4" s="2" t="s">
        <v>9</v>
      </c>
      <c r="I4" s="2" t="s">
        <v>10</v>
      </c>
    </row>
    <row r="5" spans="1:9" ht="21.75" customHeight="1" x14ac:dyDescent="0.25">
      <c r="A5" s="11" t="s">
        <v>113</v>
      </c>
      <c r="B5" s="162">
        <v>1</v>
      </c>
      <c r="C5" s="163">
        <v>-1.4E-3</v>
      </c>
      <c r="D5" s="163">
        <v>-2.58E-2</v>
      </c>
      <c r="E5" s="163">
        <v>1.6000000000000001E-3</v>
      </c>
      <c r="F5" s="163">
        <v>-6.3E-3</v>
      </c>
      <c r="G5" s="163">
        <v>-7.3000000000000001E-3</v>
      </c>
      <c r="H5" s="164">
        <v>-0.32790000000000002</v>
      </c>
      <c r="I5" s="163">
        <v>-5.8999999999999999E-3</v>
      </c>
    </row>
    <row r="6" spans="1:9" ht="21.75" customHeight="1" x14ac:dyDescent="0.25">
      <c r="A6" s="11" t="s">
        <v>114</v>
      </c>
      <c r="B6" s="163">
        <v>-1.4E-3</v>
      </c>
      <c r="C6" s="162">
        <v>1</v>
      </c>
      <c r="D6" s="163">
        <v>2.0000000000000001E-4</v>
      </c>
      <c r="E6" s="164">
        <v>-0.43190000000000001</v>
      </c>
      <c r="F6" s="163">
        <v>1.7500000000000002E-2</v>
      </c>
      <c r="G6" s="163">
        <v>-7.4000000000000003E-3</v>
      </c>
      <c r="H6" s="163">
        <v>4.0000000000000002E-4</v>
      </c>
      <c r="I6" s="163">
        <v>3.3999999999999998E-3</v>
      </c>
    </row>
    <row r="7" spans="1:9" ht="21.75" customHeight="1" x14ac:dyDescent="0.25">
      <c r="A7" s="11" t="s">
        <v>115</v>
      </c>
      <c r="B7" s="163">
        <v>-2.58E-2</v>
      </c>
      <c r="C7" s="163">
        <v>2.0000000000000001E-4</v>
      </c>
      <c r="D7" s="162">
        <v>1</v>
      </c>
      <c r="E7" s="163">
        <v>0.1144</v>
      </c>
      <c r="F7" s="163">
        <v>1.6999999999999999E-3</v>
      </c>
      <c r="G7" s="163">
        <v>2.3300000000000001E-2</v>
      </c>
      <c r="H7" s="163">
        <v>1.7399999999999999E-2</v>
      </c>
      <c r="I7" s="163">
        <v>-2.5999999999999999E-2</v>
      </c>
    </row>
    <row r="8" spans="1:9" ht="21.75" customHeight="1" x14ac:dyDescent="0.25">
      <c r="A8" s="11" t="s">
        <v>116</v>
      </c>
      <c r="B8" s="163">
        <v>1.6000000000000001E-3</v>
      </c>
      <c r="C8" s="164">
        <v>-0.43190000000000001</v>
      </c>
      <c r="D8" s="163">
        <v>0.1144</v>
      </c>
      <c r="E8" s="162">
        <v>1</v>
      </c>
      <c r="F8" s="163">
        <v>-2.9999999999999997E-4</v>
      </c>
      <c r="G8" s="163">
        <v>4.0000000000000002E-4</v>
      </c>
      <c r="H8" s="163">
        <v>2.7E-2</v>
      </c>
      <c r="I8" s="163">
        <v>-2.0000000000000001E-4</v>
      </c>
    </row>
    <row r="9" spans="1:9" ht="21.75" customHeight="1" x14ac:dyDescent="0.25">
      <c r="A9" s="11" t="s">
        <v>117</v>
      </c>
      <c r="B9" s="163">
        <v>-6.3E-3</v>
      </c>
      <c r="C9" s="163">
        <v>1.7500000000000002E-2</v>
      </c>
      <c r="D9" s="163">
        <v>1.6999999999999999E-3</v>
      </c>
      <c r="E9" s="163">
        <v>-2.9999999999999997E-4</v>
      </c>
      <c r="F9" s="162">
        <v>1</v>
      </c>
      <c r="G9" s="163">
        <v>2.5999999999999999E-3</v>
      </c>
      <c r="H9" s="163">
        <v>0.16980000000000001</v>
      </c>
      <c r="I9" s="163">
        <v>0.1168</v>
      </c>
    </row>
    <row r="10" spans="1:9" ht="21.75" customHeight="1" x14ac:dyDescent="0.25">
      <c r="A10" s="11" t="s">
        <v>118</v>
      </c>
      <c r="B10" s="163">
        <v>-7.3000000000000001E-3</v>
      </c>
      <c r="C10" s="163">
        <v>-7.4000000000000003E-3</v>
      </c>
      <c r="D10" s="163">
        <v>2.3300000000000001E-2</v>
      </c>
      <c r="E10" s="163">
        <v>4.0000000000000002E-4</v>
      </c>
      <c r="F10" s="163">
        <v>2.5999999999999999E-3</v>
      </c>
      <c r="G10" s="162">
        <v>1</v>
      </c>
      <c r="H10" s="163">
        <v>5.9999999999999995E-4</v>
      </c>
      <c r="I10" s="163">
        <v>5.0000000000000001E-3</v>
      </c>
    </row>
    <row r="11" spans="1:9" ht="21.75" customHeight="1" x14ac:dyDescent="0.25">
      <c r="A11" s="11" t="s">
        <v>119</v>
      </c>
      <c r="B11" s="164">
        <v>-0.32790000000000002</v>
      </c>
      <c r="C11" s="163">
        <v>4.0000000000000002E-4</v>
      </c>
      <c r="D11" s="163">
        <v>1.7399999999999999E-2</v>
      </c>
      <c r="E11" s="163">
        <v>2.7E-2</v>
      </c>
      <c r="F11" s="163">
        <v>0.16980000000000001</v>
      </c>
      <c r="G11" s="163">
        <v>5.9999999999999995E-4</v>
      </c>
      <c r="H11" s="162">
        <v>1</v>
      </c>
      <c r="I11" s="163">
        <v>-0.16769999999999999</v>
      </c>
    </row>
    <row r="12" spans="1:9" ht="21.75" customHeight="1" x14ac:dyDescent="0.25">
      <c r="A12" s="11" t="s">
        <v>120</v>
      </c>
      <c r="B12" s="163">
        <v>-5.8999999999999999E-3</v>
      </c>
      <c r="C12" s="163">
        <v>3.3999999999999998E-3</v>
      </c>
      <c r="D12" s="163">
        <v>-2.5999999999999999E-2</v>
      </c>
      <c r="E12" s="163">
        <v>-2.0000000000000001E-4</v>
      </c>
      <c r="F12" s="163">
        <v>0.1168</v>
      </c>
      <c r="G12" s="163">
        <v>5.0000000000000001E-3</v>
      </c>
      <c r="H12" s="163">
        <v>-0.16769999999999999</v>
      </c>
      <c r="I12" s="162">
        <v>1</v>
      </c>
    </row>
  </sheetData>
  <mergeCells count="3">
    <mergeCell ref="A1:I1"/>
    <mergeCell ref="A2:I2"/>
    <mergeCell ref="A3:I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0"/>
  <sheetViews>
    <sheetView showGridLines="0" zoomScaleNormal="100" workbookViewId="0"/>
  </sheetViews>
  <sheetFormatPr defaultColWidth="8.7109375" defaultRowHeight="15" x14ac:dyDescent="0.25"/>
  <cols>
    <col min="1" max="1" width="14" customWidth="1"/>
    <col min="2" max="2" width="20" customWidth="1"/>
    <col min="3" max="3" width="22" customWidth="1"/>
    <col min="4" max="4" width="28" customWidth="1"/>
    <col min="5" max="5" width="20" customWidth="1"/>
    <col min="6" max="7" width="26" customWidth="1"/>
    <col min="8" max="8" width="15" customWidth="1"/>
  </cols>
  <sheetData>
    <row r="1" spans="1:8" ht="37.5" customHeight="1" x14ac:dyDescent="0.25">
      <c r="A1" s="340" t="s">
        <v>121</v>
      </c>
      <c r="B1" s="341"/>
      <c r="C1" s="341"/>
      <c r="D1" s="341"/>
      <c r="E1" s="341"/>
      <c r="F1" s="341"/>
      <c r="G1" s="341"/>
      <c r="H1" s="341"/>
    </row>
    <row r="2" spans="1:8" ht="19.5" customHeight="1" x14ac:dyDescent="0.25">
      <c r="A2" s="342" t="s">
        <v>122</v>
      </c>
      <c r="B2" s="341"/>
      <c r="C2" s="341"/>
      <c r="D2" s="341"/>
      <c r="E2" s="341"/>
      <c r="F2" s="341"/>
      <c r="G2" s="341"/>
      <c r="H2" s="341"/>
    </row>
    <row r="3" spans="1:8" ht="9.75" customHeight="1" x14ac:dyDescent="0.25">
      <c r="A3" s="343"/>
      <c r="B3" s="341"/>
      <c r="C3" s="341"/>
      <c r="D3" s="341"/>
      <c r="E3" s="341"/>
      <c r="F3" s="341"/>
      <c r="G3" s="341"/>
      <c r="H3" s="341"/>
    </row>
    <row r="4" spans="1:8" ht="24" customHeight="1" x14ac:dyDescent="0.25">
      <c r="A4" s="345" t="s">
        <v>123</v>
      </c>
      <c r="B4" s="341"/>
      <c r="C4" s="341"/>
      <c r="D4" s="341"/>
      <c r="E4" s="341"/>
      <c r="F4" s="341"/>
      <c r="G4" s="341"/>
      <c r="H4" s="341"/>
    </row>
    <row r="5" spans="1:8" ht="21.75" customHeight="1" x14ac:dyDescent="0.25">
      <c r="A5" s="121" t="s">
        <v>124</v>
      </c>
      <c r="B5" s="165" t="s">
        <v>125</v>
      </c>
      <c r="C5" s="347" t="s">
        <v>126</v>
      </c>
      <c r="D5" s="341"/>
      <c r="E5" s="341"/>
      <c r="F5" s="341"/>
      <c r="G5" s="341"/>
      <c r="H5" s="341"/>
    </row>
    <row r="6" spans="1:8" ht="21.75" customHeight="1" x14ac:dyDescent="0.25">
      <c r="A6" s="95" t="s">
        <v>127</v>
      </c>
      <c r="B6" s="75" t="s">
        <v>128</v>
      </c>
      <c r="C6" s="346" t="s">
        <v>129</v>
      </c>
      <c r="D6" s="341"/>
      <c r="E6" s="341"/>
      <c r="F6" s="341"/>
      <c r="G6" s="341"/>
      <c r="H6" s="341"/>
    </row>
    <row r="7" spans="1:8" ht="21.75" customHeight="1" x14ac:dyDescent="0.25">
      <c r="A7" s="121" t="s">
        <v>130</v>
      </c>
      <c r="B7" s="165" t="s">
        <v>131</v>
      </c>
      <c r="C7" s="347" t="s">
        <v>132</v>
      </c>
      <c r="D7" s="341"/>
      <c r="E7" s="341"/>
      <c r="F7" s="341"/>
      <c r="G7" s="341"/>
      <c r="H7" s="341"/>
    </row>
    <row r="8" spans="1:8" ht="21.75" customHeight="1" x14ac:dyDescent="0.25">
      <c r="A8" s="95" t="s">
        <v>133</v>
      </c>
      <c r="B8" s="75" t="s">
        <v>134</v>
      </c>
      <c r="C8" s="346" t="s">
        <v>135</v>
      </c>
      <c r="D8" s="341"/>
      <c r="E8" s="341"/>
      <c r="F8" s="341"/>
      <c r="G8" s="341"/>
      <c r="H8" s="341"/>
    </row>
    <row r="9" spans="1:8" ht="21.75" customHeight="1" x14ac:dyDescent="0.25">
      <c r="A9" s="166" t="s">
        <v>136</v>
      </c>
      <c r="B9" s="167" t="s">
        <v>137</v>
      </c>
      <c r="C9" s="348" t="s">
        <v>138</v>
      </c>
      <c r="D9" s="341"/>
      <c r="E9" s="341"/>
      <c r="F9" s="341"/>
      <c r="G9" s="341"/>
      <c r="H9" s="341"/>
    </row>
    <row r="11" spans="1:8" ht="24" customHeight="1" x14ac:dyDescent="0.25">
      <c r="A11" s="345" t="s">
        <v>139</v>
      </c>
      <c r="B11" s="341"/>
      <c r="C11" s="341"/>
      <c r="D11" s="341"/>
      <c r="E11" s="341"/>
      <c r="F11" s="341"/>
      <c r="G11" s="341"/>
      <c r="H11" s="341"/>
    </row>
    <row r="12" spans="1:8" ht="27.75" customHeight="1" x14ac:dyDescent="0.25">
      <c r="A12" s="2" t="s">
        <v>140</v>
      </c>
      <c r="B12" s="2" t="s">
        <v>141</v>
      </c>
      <c r="C12" s="2" t="s">
        <v>142</v>
      </c>
      <c r="D12" s="2" t="s">
        <v>143</v>
      </c>
      <c r="E12" s="2" t="s">
        <v>144</v>
      </c>
      <c r="F12" s="2" t="s">
        <v>145</v>
      </c>
    </row>
    <row r="13" spans="1:8" ht="18" customHeight="1" x14ac:dyDescent="0.25">
      <c r="A13" s="168" t="s">
        <v>146</v>
      </c>
      <c r="B13" s="169" t="s">
        <v>125</v>
      </c>
      <c r="C13" s="170" t="s">
        <v>147</v>
      </c>
      <c r="D13" s="170" t="s">
        <v>148</v>
      </c>
      <c r="E13" s="171" t="s">
        <v>18</v>
      </c>
      <c r="F13" s="172" t="s">
        <v>149</v>
      </c>
    </row>
    <row r="14" spans="1:8" ht="18" customHeight="1" x14ac:dyDescent="0.25">
      <c r="A14" s="173" t="s">
        <v>150</v>
      </c>
      <c r="B14" s="174" t="s">
        <v>125</v>
      </c>
      <c r="C14" s="175" t="s">
        <v>147</v>
      </c>
      <c r="D14" s="175" t="s">
        <v>148</v>
      </c>
      <c r="E14" s="176" t="s">
        <v>18</v>
      </c>
      <c r="F14" s="177" t="s">
        <v>149</v>
      </c>
    </row>
    <row r="15" spans="1:8" ht="18" customHeight="1" x14ac:dyDescent="0.25">
      <c r="A15" s="168" t="s">
        <v>151</v>
      </c>
      <c r="B15" s="169" t="s">
        <v>125</v>
      </c>
      <c r="C15" s="170" t="s">
        <v>147</v>
      </c>
      <c r="D15" s="170" t="s">
        <v>148</v>
      </c>
      <c r="E15" s="171" t="s">
        <v>18</v>
      </c>
      <c r="F15" s="172" t="s">
        <v>149</v>
      </c>
    </row>
    <row r="16" spans="1:8" ht="18" customHeight="1" x14ac:dyDescent="0.25">
      <c r="A16" s="173" t="s">
        <v>152</v>
      </c>
      <c r="B16" s="174" t="s">
        <v>125</v>
      </c>
      <c r="C16" s="175" t="s">
        <v>147</v>
      </c>
      <c r="D16" s="175" t="s">
        <v>148</v>
      </c>
      <c r="E16" s="176" t="s">
        <v>18</v>
      </c>
      <c r="F16" s="177" t="s">
        <v>149</v>
      </c>
    </row>
    <row r="17" spans="1:6" ht="18" customHeight="1" x14ac:dyDescent="0.25">
      <c r="A17" s="168" t="s">
        <v>153</v>
      </c>
      <c r="B17" s="169" t="s">
        <v>125</v>
      </c>
      <c r="C17" s="170" t="s">
        <v>147</v>
      </c>
      <c r="D17" s="170" t="s">
        <v>148</v>
      </c>
      <c r="E17" s="171" t="s">
        <v>18</v>
      </c>
      <c r="F17" s="172" t="s">
        <v>149</v>
      </c>
    </row>
    <row r="18" spans="1:6" ht="18" customHeight="1" x14ac:dyDescent="0.25">
      <c r="A18" s="173" t="s">
        <v>154</v>
      </c>
      <c r="B18" s="174" t="s">
        <v>125</v>
      </c>
      <c r="C18" s="175" t="s">
        <v>147</v>
      </c>
      <c r="D18" s="175" t="s">
        <v>148</v>
      </c>
      <c r="E18" s="176" t="s">
        <v>18</v>
      </c>
      <c r="F18" s="177" t="s">
        <v>149</v>
      </c>
    </row>
    <row r="19" spans="1:6" ht="18" customHeight="1" x14ac:dyDescent="0.25">
      <c r="A19" s="168" t="s">
        <v>155</v>
      </c>
      <c r="B19" s="169" t="s">
        <v>125</v>
      </c>
      <c r="C19" s="170" t="s">
        <v>147</v>
      </c>
      <c r="D19" s="170" t="s">
        <v>148</v>
      </c>
      <c r="E19" s="171" t="s">
        <v>18</v>
      </c>
      <c r="F19" s="172" t="s">
        <v>149</v>
      </c>
    </row>
    <row r="20" spans="1:6" ht="18" customHeight="1" x14ac:dyDescent="0.25">
      <c r="A20" s="173" t="s">
        <v>156</v>
      </c>
      <c r="B20" s="174" t="s">
        <v>125</v>
      </c>
      <c r="C20" s="175" t="s">
        <v>147</v>
      </c>
      <c r="D20" s="175" t="s">
        <v>148</v>
      </c>
      <c r="E20" s="176" t="s">
        <v>18</v>
      </c>
      <c r="F20" s="177" t="s">
        <v>149</v>
      </c>
    </row>
    <row r="21" spans="1:6" ht="18" customHeight="1" x14ac:dyDescent="0.25">
      <c r="A21" s="168" t="s">
        <v>157</v>
      </c>
      <c r="B21" s="169" t="s">
        <v>125</v>
      </c>
      <c r="C21" s="170" t="s">
        <v>147</v>
      </c>
      <c r="D21" s="170" t="s">
        <v>148</v>
      </c>
      <c r="E21" s="171" t="s">
        <v>18</v>
      </c>
      <c r="F21" s="172" t="s">
        <v>149</v>
      </c>
    </row>
    <row r="22" spans="1:6" ht="18" customHeight="1" x14ac:dyDescent="0.25">
      <c r="A22" s="173" t="s">
        <v>158</v>
      </c>
      <c r="B22" s="174" t="s">
        <v>125</v>
      </c>
      <c r="C22" s="175" t="s">
        <v>147</v>
      </c>
      <c r="D22" s="175" t="s">
        <v>148</v>
      </c>
      <c r="E22" s="176" t="s">
        <v>18</v>
      </c>
      <c r="F22" s="177" t="s">
        <v>149</v>
      </c>
    </row>
    <row r="23" spans="1:6" ht="18" customHeight="1" x14ac:dyDescent="0.25">
      <c r="A23" s="168" t="s">
        <v>159</v>
      </c>
      <c r="B23" s="169" t="s">
        <v>125</v>
      </c>
      <c r="C23" s="170" t="s">
        <v>147</v>
      </c>
      <c r="D23" s="170" t="s">
        <v>148</v>
      </c>
      <c r="E23" s="171" t="s">
        <v>18</v>
      </c>
      <c r="F23" s="172" t="s">
        <v>149</v>
      </c>
    </row>
    <row r="24" spans="1:6" ht="18" customHeight="1" x14ac:dyDescent="0.25">
      <c r="A24" s="173" t="s">
        <v>160</v>
      </c>
      <c r="B24" s="174" t="s">
        <v>125</v>
      </c>
      <c r="C24" s="175" t="s">
        <v>147</v>
      </c>
      <c r="D24" s="175" t="s">
        <v>148</v>
      </c>
      <c r="E24" s="176" t="s">
        <v>18</v>
      </c>
      <c r="F24" s="177" t="s">
        <v>149</v>
      </c>
    </row>
    <row r="25" spans="1:6" ht="18" customHeight="1" x14ac:dyDescent="0.25">
      <c r="A25" s="168" t="s">
        <v>161</v>
      </c>
      <c r="B25" s="169" t="s">
        <v>125</v>
      </c>
      <c r="C25" s="170" t="s">
        <v>147</v>
      </c>
      <c r="D25" s="170" t="s">
        <v>148</v>
      </c>
      <c r="E25" s="171" t="s">
        <v>18</v>
      </c>
      <c r="F25" s="172" t="s">
        <v>149</v>
      </c>
    </row>
    <row r="26" spans="1:6" ht="18" customHeight="1" x14ac:dyDescent="0.25">
      <c r="A26" s="173" t="s">
        <v>162</v>
      </c>
      <c r="B26" s="174" t="s">
        <v>125</v>
      </c>
      <c r="C26" s="175" t="s">
        <v>147</v>
      </c>
      <c r="D26" s="175" t="s">
        <v>148</v>
      </c>
      <c r="E26" s="176" t="s">
        <v>18</v>
      </c>
      <c r="F26" s="177" t="s">
        <v>149</v>
      </c>
    </row>
    <row r="27" spans="1:6" ht="18" customHeight="1" x14ac:dyDescent="0.25">
      <c r="A27" s="168" t="s">
        <v>163</v>
      </c>
      <c r="B27" s="169" t="s">
        <v>125</v>
      </c>
      <c r="C27" s="170" t="s">
        <v>147</v>
      </c>
      <c r="D27" s="170" t="s">
        <v>148</v>
      </c>
      <c r="E27" s="171" t="s">
        <v>18</v>
      </c>
      <c r="F27" s="169" t="s">
        <v>164</v>
      </c>
    </row>
    <row r="28" spans="1:6" ht="18" customHeight="1" x14ac:dyDescent="0.25">
      <c r="A28" s="173" t="s">
        <v>165</v>
      </c>
      <c r="B28" s="174" t="s">
        <v>125</v>
      </c>
      <c r="C28" s="175" t="s">
        <v>147</v>
      </c>
      <c r="D28" s="175" t="s">
        <v>148</v>
      </c>
      <c r="E28" s="176" t="s">
        <v>18</v>
      </c>
      <c r="F28" s="174" t="s">
        <v>164</v>
      </c>
    </row>
    <row r="29" spans="1:6" ht="18" customHeight="1" x14ac:dyDescent="0.25">
      <c r="A29" s="168" t="s">
        <v>166</v>
      </c>
      <c r="B29" s="169" t="s">
        <v>125</v>
      </c>
      <c r="C29" s="170" t="s">
        <v>147</v>
      </c>
      <c r="D29" s="170" t="s">
        <v>148</v>
      </c>
      <c r="E29" s="171" t="s">
        <v>18</v>
      </c>
      <c r="F29" s="169" t="s">
        <v>164</v>
      </c>
    </row>
    <row r="30" spans="1:6" ht="18" customHeight="1" x14ac:dyDescent="0.25">
      <c r="A30" s="173" t="s">
        <v>167</v>
      </c>
      <c r="B30" s="174" t="s">
        <v>125</v>
      </c>
      <c r="C30" s="175" t="s">
        <v>147</v>
      </c>
      <c r="D30" s="175" t="s">
        <v>148</v>
      </c>
      <c r="E30" s="176" t="s">
        <v>18</v>
      </c>
      <c r="F30" s="174" t="s">
        <v>164</v>
      </c>
    </row>
    <row r="31" spans="1:6" ht="18" customHeight="1" x14ac:dyDescent="0.25">
      <c r="A31" s="168" t="s">
        <v>168</v>
      </c>
      <c r="B31" s="169" t="s">
        <v>125</v>
      </c>
      <c r="C31" s="170" t="s">
        <v>147</v>
      </c>
      <c r="D31" s="170" t="s">
        <v>148</v>
      </c>
      <c r="E31" s="171" t="s">
        <v>18</v>
      </c>
      <c r="F31" s="169" t="s">
        <v>164</v>
      </c>
    </row>
    <row r="32" spans="1:6" ht="18" customHeight="1" x14ac:dyDescent="0.25">
      <c r="A32" s="173" t="s">
        <v>169</v>
      </c>
      <c r="B32" s="174" t="s">
        <v>125</v>
      </c>
      <c r="C32" s="175" t="s">
        <v>147</v>
      </c>
      <c r="D32" s="175" t="s">
        <v>148</v>
      </c>
      <c r="E32" s="176" t="s">
        <v>18</v>
      </c>
      <c r="F32" s="174" t="s">
        <v>164</v>
      </c>
    </row>
    <row r="33" spans="1:8" ht="18" customHeight="1" x14ac:dyDescent="0.25">
      <c r="A33" s="178" t="s">
        <v>170</v>
      </c>
      <c r="B33" s="179" t="s">
        <v>171</v>
      </c>
      <c r="C33" s="180" t="s">
        <v>147</v>
      </c>
      <c r="D33" s="180" t="s">
        <v>172</v>
      </c>
      <c r="E33" s="181" t="s">
        <v>173</v>
      </c>
      <c r="F33" s="179" t="s">
        <v>164</v>
      </c>
    </row>
    <row r="34" spans="1:8" ht="18" customHeight="1" x14ac:dyDescent="0.25">
      <c r="A34" s="173" t="s">
        <v>174</v>
      </c>
      <c r="B34" s="174" t="s">
        <v>171</v>
      </c>
      <c r="C34" s="175" t="s">
        <v>147</v>
      </c>
      <c r="D34" s="175" t="s">
        <v>172</v>
      </c>
      <c r="E34" s="176" t="s">
        <v>18</v>
      </c>
      <c r="F34" s="174" t="s">
        <v>164</v>
      </c>
    </row>
    <row r="35" spans="1:8" ht="18" customHeight="1" x14ac:dyDescent="0.25">
      <c r="A35" s="168" t="s">
        <v>175</v>
      </c>
      <c r="B35" s="169" t="s">
        <v>171</v>
      </c>
      <c r="C35" s="170" t="s">
        <v>147</v>
      </c>
      <c r="D35" s="170" t="s">
        <v>172</v>
      </c>
      <c r="E35" s="171" t="s">
        <v>18</v>
      </c>
      <c r="F35" s="169" t="s">
        <v>164</v>
      </c>
    </row>
    <row r="36" spans="1:8" ht="18" customHeight="1" x14ac:dyDescent="0.25">
      <c r="A36" s="173" t="s">
        <v>176</v>
      </c>
      <c r="B36" s="174" t="s">
        <v>171</v>
      </c>
      <c r="C36" s="175" t="s">
        <v>147</v>
      </c>
      <c r="D36" s="175" t="s">
        <v>172</v>
      </c>
      <c r="E36" s="176" t="s">
        <v>18</v>
      </c>
      <c r="F36" s="174" t="s">
        <v>164</v>
      </c>
    </row>
    <row r="37" spans="1:8" ht="18" customHeight="1" x14ac:dyDescent="0.25">
      <c r="A37" s="178" t="s">
        <v>177</v>
      </c>
      <c r="B37" s="179" t="s">
        <v>128</v>
      </c>
      <c r="C37" s="180" t="s">
        <v>147</v>
      </c>
      <c r="D37" s="180" t="s">
        <v>134</v>
      </c>
      <c r="E37" s="181" t="s">
        <v>173</v>
      </c>
      <c r="F37" s="179" t="s">
        <v>164</v>
      </c>
    </row>
    <row r="38" spans="1:8" ht="18" customHeight="1" x14ac:dyDescent="0.25">
      <c r="A38" s="173" t="s">
        <v>178</v>
      </c>
      <c r="B38" s="174" t="s">
        <v>128</v>
      </c>
      <c r="C38" s="175" t="s">
        <v>147</v>
      </c>
      <c r="D38" s="175" t="s">
        <v>134</v>
      </c>
      <c r="E38" s="176" t="s">
        <v>18</v>
      </c>
      <c r="F38" s="174" t="s">
        <v>164</v>
      </c>
    </row>
    <row r="39" spans="1:8" ht="18" customHeight="1" x14ac:dyDescent="0.25">
      <c r="A39" s="168" t="s">
        <v>179</v>
      </c>
      <c r="B39" s="169" t="s">
        <v>128</v>
      </c>
      <c r="C39" s="170" t="s">
        <v>147</v>
      </c>
      <c r="D39" s="170" t="s">
        <v>134</v>
      </c>
      <c r="E39" s="171" t="s">
        <v>18</v>
      </c>
      <c r="F39" s="169" t="s">
        <v>164</v>
      </c>
    </row>
    <row r="40" spans="1:8" ht="18" customHeight="1" x14ac:dyDescent="0.25">
      <c r="A40" s="173" t="s">
        <v>180</v>
      </c>
      <c r="B40" s="174" t="s">
        <v>128</v>
      </c>
      <c r="C40" s="175" t="s">
        <v>147</v>
      </c>
      <c r="D40" s="175" t="s">
        <v>134</v>
      </c>
      <c r="E40" s="176" t="s">
        <v>18</v>
      </c>
      <c r="F40" s="174" t="s">
        <v>164</v>
      </c>
    </row>
    <row r="41" spans="1:8" ht="18" customHeight="1" x14ac:dyDescent="0.25">
      <c r="A41" s="168" t="s">
        <v>181</v>
      </c>
      <c r="B41" s="169" t="s">
        <v>128</v>
      </c>
      <c r="C41" s="170" t="s">
        <v>147</v>
      </c>
      <c r="D41" s="170" t="s">
        <v>134</v>
      </c>
      <c r="E41" s="171" t="s">
        <v>18</v>
      </c>
      <c r="F41" s="169" t="s">
        <v>164</v>
      </c>
    </row>
    <row r="44" spans="1:8" ht="24" customHeight="1" x14ac:dyDescent="0.25">
      <c r="A44" s="345" t="s">
        <v>182</v>
      </c>
      <c r="B44" s="341"/>
      <c r="C44" s="341"/>
      <c r="D44" s="341"/>
      <c r="E44" s="341"/>
      <c r="F44" s="341"/>
      <c r="G44" s="341"/>
      <c r="H44" s="341"/>
    </row>
    <row r="45" spans="1:8" ht="27.75" customHeight="1" x14ac:dyDescent="0.25">
      <c r="A45" s="2" t="s">
        <v>140</v>
      </c>
      <c r="B45" s="2" t="s">
        <v>141</v>
      </c>
      <c r="C45" s="2" t="s">
        <v>142</v>
      </c>
      <c r="D45" s="2" t="s">
        <v>143</v>
      </c>
      <c r="E45" s="2" t="s">
        <v>183</v>
      </c>
      <c r="F45" s="2" t="s">
        <v>184</v>
      </c>
      <c r="G45" s="2" t="s">
        <v>185</v>
      </c>
    </row>
    <row r="46" spans="1:8" ht="15.75" customHeight="1" x14ac:dyDescent="0.25">
      <c r="A46" s="182" t="s">
        <v>186</v>
      </c>
      <c r="B46" s="183" t="s">
        <v>18</v>
      </c>
      <c r="C46" s="183" t="s">
        <v>18</v>
      </c>
      <c r="D46" s="183" t="s">
        <v>18</v>
      </c>
      <c r="E46" s="183" t="s">
        <v>187</v>
      </c>
      <c r="F46" s="183" t="s">
        <v>188</v>
      </c>
      <c r="G46" s="183" t="s">
        <v>189</v>
      </c>
    </row>
    <row r="47" spans="1:8" ht="15.75" customHeight="1" x14ac:dyDescent="0.25">
      <c r="A47" s="184" t="s">
        <v>190</v>
      </c>
      <c r="B47" s="185" t="s">
        <v>18</v>
      </c>
      <c r="C47" s="185" t="s">
        <v>18</v>
      </c>
      <c r="D47" s="185" t="s">
        <v>18</v>
      </c>
      <c r="E47" s="185" t="s">
        <v>187</v>
      </c>
      <c r="F47" s="185" t="s">
        <v>188</v>
      </c>
      <c r="G47" s="185" t="s">
        <v>189</v>
      </c>
    </row>
    <row r="48" spans="1:8" ht="15.75" customHeight="1" x14ac:dyDescent="0.25">
      <c r="A48" s="182" t="s">
        <v>191</v>
      </c>
      <c r="B48" s="183" t="s">
        <v>18</v>
      </c>
      <c r="C48" s="183" t="s">
        <v>18</v>
      </c>
      <c r="D48" s="183" t="s">
        <v>18</v>
      </c>
      <c r="E48" s="183" t="s">
        <v>187</v>
      </c>
      <c r="F48" s="183" t="s">
        <v>188</v>
      </c>
      <c r="G48" s="183" t="s">
        <v>189</v>
      </c>
    </row>
    <row r="49" spans="1:7" ht="15.75" customHeight="1" x14ac:dyDescent="0.25">
      <c r="A49" s="184" t="s">
        <v>192</v>
      </c>
      <c r="B49" s="185" t="s">
        <v>18</v>
      </c>
      <c r="C49" s="185" t="s">
        <v>18</v>
      </c>
      <c r="D49" s="185" t="s">
        <v>18</v>
      </c>
      <c r="E49" s="185" t="s">
        <v>187</v>
      </c>
      <c r="F49" s="185" t="s">
        <v>188</v>
      </c>
      <c r="G49" s="185" t="s">
        <v>189</v>
      </c>
    </row>
    <row r="50" spans="1:7" ht="15.75" customHeight="1" x14ac:dyDescent="0.25">
      <c r="A50" s="182" t="s">
        <v>193</v>
      </c>
      <c r="B50" s="183" t="s">
        <v>18</v>
      </c>
      <c r="C50" s="183" t="s">
        <v>18</v>
      </c>
      <c r="D50" s="183" t="s">
        <v>18</v>
      </c>
      <c r="E50" s="183" t="s">
        <v>187</v>
      </c>
      <c r="F50" s="183" t="s">
        <v>188</v>
      </c>
      <c r="G50" s="183" t="s">
        <v>189</v>
      </c>
    </row>
    <row r="51" spans="1:7" ht="15.75" customHeight="1" x14ac:dyDescent="0.25">
      <c r="A51" s="184" t="s">
        <v>194</v>
      </c>
      <c r="B51" s="185" t="s">
        <v>18</v>
      </c>
      <c r="C51" s="185" t="s">
        <v>18</v>
      </c>
      <c r="D51" s="185" t="s">
        <v>18</v>
      </c>
      <c r="E51" s="185" t="s">
        <v>187</v>
      </c>
      <c r="F51" s="185" t="s">
        <v>188</v>
      </c>
      <c r="G51" s="185" t="s">
        <v>189</v>
      </c>
    </row>
    <row r="52" spans="1:7" ht="15.75" customHeight="1" x14ac:dyDescent="0.25">
      <c r="A52" s="182" t="s">
        <v>195</v>
      </c>
      <c r="B52" s="183" t="s">
        <v>18</v>
      </c>
      <c r="C52" s="183" t="s">
        <v>18</v>
      </c>
      <c r="D52" s="183" t="s">
        <v>18</v>
      </c>
      <c r="E52" s="183" t="s">
        <v>187</v>
      </c>
      <c r="F52" s="183" t="s">
        <v>188</v>
      </c>
      <c r="G52" s="183" t="s">
        <v>189</v>
      </c>
    </row>
    <row r="53" spans="1:7" ht="15.75" customHeight="1" x14ac:dyDescent="0.25">
      <c r="A53" s="184" t="s">
        <v>196</v>
      </c>
      <c r="B53" s="185" t="s">
        <v>18</v>
      </c>
      <c r="C53" s="185" t="s">
        <v>18</v>
      </c>
      <c r="D53" s="185" t="s">
        <v>18</v>
      </c>
      <c r="E53" s="185" t="s">
        <v>187</v>
      </c>
      <c r="F53" s="185" t="s">
        <v>188</v>
      </c>
      <c r="G53" s="185" t="s">
        <v>189</v>
      </c>
    </row>
    <row r="54" spans="1:7" ht="15.75" customHeight="1" x14ac:dyDescent="0.25">
      <c r="A54" s="182" t="s">
        <v>197</v>
      </c>
      <c r="B54" s="183" t="s">
        <v>18</v>
      </c>
      <c r="C54" s="183" t="s">
        <v>18</v>
      </c>
      <c r="D54" s="183" t="s">
        <v>18</v>
      </c>
      <c r="E54" s="183" t="s">
        <v>187</v>
      </c>
      <c r="F54" s="183" t="s">
        <v>188</v>
      </c>
      <c r="G54" s="183" t="s">
        <v>189</v>
      </c>
    </row>
    <row r="55" spans="1:7" ht="15.75" customHeight="1" x14ac:dyDescent="0.25">
      <c r="A55" s="184" t="s">
        <v>198</v>
      </c>
      <c r="B55" s="185" t="s">
        <v>18</v>
      </c>
      <c r="C55" s="185" t="s">
        <v>18</v>
      </c>
      <c r="D55" s="185" t="s">
        <v>18</v>
      </c>
      <c r="E55" s="185" t="s">
        <v>187</v>
      </c>
      <c r="F55" s="185" t="s">
        <v>188</v>
      </c>
      <c r="G55" s="185" t="s">
        <v>189</v>
      </c>
    </row>
    <row r="56" spans="1:7" ht="15.75" customHeight="1" x14ac:dyDescent="0.25">
      <c r="A56" s="182" t="s">
        <v>199</v>
      </c>
      <c r="B56" s="183" t="s">
        <v>18</v>
      </c>
      <c r="C56" s="183" t="s">
        <v>18</v>
      </c>
      <c r="D56" s="183" t="s">
        <v>18</v>
      </c>
      <c r="E56" s="183" t="s">
        <v>187</v>
      </c>
      <c r="F56" s="183" t="s">
        <v>188</v>
      </c>
      <c r="G56" s="183" t="s">
        <v>189</v>
      </c>
    </row>
    <row r="57" spans="1:7" ht="15.75" customHeight="1" x14ac:dyDescent="0.25">
      <c r="A57" s="184" t="s">
        <v>200</v>
      </c>
      <c r="B57" s="185" t="s">
        <v>18</v>
      </c>
      <c r="C57" s="185" t="s">
        <v>18</v>
      </c>
      <c r="D57" s="185" t="s">
        <v>18</v>
      </c>
      <c r="E57" s="185" t="s">
        <v>187</v>
      </c>
      <c r="F57" s="185" t="s">
        <v>128</v>
      </c>
      <c r="G57" s="185" t="s">
        <v>189</v>
      </c>
    </row>
    <row r="58" spans="1:7" ht="15.75" customHeight="1" x14ac:dyDescent="0.25">
      <c r="A58" s="182" t="s">
        <v>201</v>
      </c>
      <c r="B58" s="183" t="s">
        <v>18</v>
      </c>
      <c r="C58" s="183" t="s">
        <v>18</v>
      </c>
      <c r="D58" s="183" t="s">
        <v>18</v>
      </c>
      <c r="E58" s="183" t="s">
        <v>187</v>
      </c>
      <c r="F58" s="183" t="s">
        <v>128</v>
      </c>
      <c r="G58" s="183" t="s">
        <v>189</v>
      </c>
    </row>
    <row r="59" spans="1:7" ht="15.75" customHeight="1" x14ac:dyDescent="0.25">
      <c r="A59" s="184" t="s">
        <v>202</v>
      </c>
      <c r="B59" s="185" t="s">
        <v>18</v>
      </c>
      <c r="C59" s="185" t="s">
        <v>18</v>
      </c>
      <c r="D59" s="185" t="s">
        <v>18</v>
      </c>
      <c r="E59" s="185" t="s">
        <v>187</v>
      </c>
      <c r="F59" s="185" t="s">
        <v>128</v>
      </c>
      <c r="G59" s="185" t="s">
        <v>189</v>
      </c>
    </row>
    <row r="60" spans="1:7" ht="15.75" customHeight="1" x14ac:dyDescent="0.25">
      <c r="A60" s="182" t="s">
        <v>203</v>
      </c>
      <c r="B60" s="183" t="s">
        <v>18</v>
      </c>
      <c r="C60" s="183" t="s">
        <v>18</v>
      </c>
      <c r="D60" s="183" t="s">
        <v>18</v>
      </c>
      <c r="E60" s="183" t="s">
        <v>187</v>
      </c>
      <c r="F60" s="183" t="s">
        <v>128</v>
      </c>
      <c r="G60" s="183" t="s">
        <v>189</v>
      </c>
    </row>
    <row r="61" spans="1:7" ht="15.75" customHeight="1" x14ac:dyDescent="0.25">
      <c r="A61" s="184" t="s">
        <v>204</v>
      </c>
      <c r="B61" s="185" t="s">
        <v>18</v>
      </c>
      <c r="C61" s="185" t="s">
        <v>18</v>
      </c>
      <c r="D61" s="185" t="s">
        <v>18</v>
      </c>
      <c r="E61" s="185" t="s">
        <v>187</v>
      </c>
      <c r="F61" s="185" t="s">
        <v>128</v>
      </c>
      <c r="G61" s="185" t="s">
        <v>189</v>
      </c>
    </row>
    <row r="62" spans="1:7" ht="15.75" customHeight="1" x14ac:dyDescent="0.25">
      <c r="A62" s="182" t="s">
        <v>205</v>
      </c>
      <c r="B62" s="183" t="s">
        <v>18</v>
      </c>
      <c r="C62" s="183" t="s">
        <v>18</v>
      </c>
      <c r="D62" s="183" t="s">
        <v>18</v>
      </c>
      <c r="E62" s="183" t="s">
        <v>187</v>
      </c>
      <c r="F62" s="183" t="s">
        <v>128</v>
      </c>
      <c r="G62" s="183" t="s">
        <v>189</v>
      </c>
    </row>
    <row r="63" spans="1:7" ht="15.75" customHeight="1" x14ac:dyDescent="0.25">
      <c r="A63" s="184" t="s">
        <v>206</v>
      </c>
      <c r="B63" s="185" t="s">
        <v>18</v>
      </c>
      <c r="C63" s="185" t="s">
        <v>18</v>
      </c>
      <c r="D63" s="185" t="s">
        <v>18</v>
      </c>
      <c r="E63" s="185" t="s">
        <v>134</v>
      </c>
      <c r="F63" s="185" t="s">
        <v>128</v>
      </c>
      <c r="G63" s="185" t="s">
        <v>189</v>
      </c>
    </row>
    <row r="64" spans="1:7" ht="15.75" customHeight="1" x14ac:dyDescent="0.25">
      <c r="A64" s="182" t="s">
        <v>207</v>
      </c>
      <c r="B64" s="183" t="s">
        <v>18</v>
      </c>
      <c r="C64" s="183" t="s">
        <v>18</v>
      </c>
      <c r="D64" s="183" t="s">
        <v>18</v>
      </c>
      <c r="E64" s="183" t="s">
        <v>134</v>
      </c>
      <c r="F64" s="183" t="s">
        <v>128</v>
      </c>
      <c r="G64" s="183" t="s">
        <v>189</v>
      </c>
    </row>
    <row r="65" spans="1:7" ht="15.75" customHeight="1" x14ac:dyDescent="0.25">
      <c r="A65" s="184" t="s">
        <v>208</v>
      </c>
      <c r="B65" s="185" t="s">
        <v>18</v>
      </c>
      <c r="C65" s="185" t="s">
        <v>18</v>
      </c>
      <c r="D65" s="185" t="s">
        <v>18</v>
      </c>
      <c r="E65" s="185" t="s">
        <v>134</v>
      </c>
      <c r="F65" s="185" t="s">
        <v>128</v>
      </c>
      <c r="G65" s="185" t="s">
        <v>189</v>
      </c>
    </row>
    <row r="66" spans="1:7" ht="15.75" customHeight="1" x14ac:dyDescent="0.25">
      <c r="A66" s="182" t="s">
        <v>209</v>
      </c>
      <c r="B66" s="183" t="s">
        <v>18</v>
      </c>
      <c r="C66" s="183" t="s">
        <v>18</v>
      </c>
      <c r="D66" s="183" t="s">
        <v>18</v>
      </c>
      <c r="E66" s="183" t="s">
        <v>134</v>
      </c>
      <c r="F66" s="183" t="s">
        <v>128</v>
      </c>
      <c r="G66" s="183" t="s">
        <v>189</v>
      </c>
    </row>
    <row r="67" spans="1:7" ht="15.75" customHeight="1" x14ac:dyDescent="0.25">
      <c r="A67" s="184" t="s">
        <v>210</v>
      </c>
      <c r="B67" s="185" t="s">
        <v>18</v>
      </c>
      <c r="C67" s="185" t="s">
        <v>18</v>
      </c>
      <c r="D67" s="185" t="s">
        <v>18</v>
      </c>
      <c r="E67" s="185" t="s">
        <v>134</v>
      </c>
      <c r="F67" s="185" t="s">
        <v>128</v>
      </c>
      <c r="G67" s="185" t="s">
        <v>189</v>
      </c>
    </row>
    <row r="68" spans="1:7" ht="15.75" customHeight="1" x14ac:dyDescent="0.25">
      <c r="A68" s="182" t="s">
        <v>211</v>
      </c>
      <c r="B68" s="183" t="s">
        <v>18</v>
      </c>
      <c r="C68" s="183" t="s">
        <v>18</v>
      </c>
      <c r="D68" s="183" t="s">
        <v>18</v>
      </c>
      <c r="E68" s="183" t="s">
        <v>134</v>
      </c>
      <c r="F68" s="183" t="s">
        <v>128</v>
      </c>
      <c r="G68" s="183" t="s">
        <v>189</v>
      </c>
    </row>
    <row r="69" spans="1:7" ht="15.75" customHeight="1" x14ac:dyDescent="0.25">
      <c r="A69" s="184" t="s">
        <v>212</v>
      </c>
      <c r="B69" s="185" t="s">
        <v>18</v>
      </c>
      <c r="C69" s="185" t="s">
        <v>18</v>
      </c>
      <c r="D69" s="185" t="s">
        <v>18</v>
      </c>
      <c r="E69" s="185" t="s">
        <v>134</v>
      </c>
      <c r="F69" s="185" t="s">
        <v>128</v>
      </c>
      <c r="G69" s="185" t="s">
        <v>189</v>
      </c>
    </row>
    <row r="70" spans="1:7" ht="15.75" customHeight="1" x14ac:dyDescent="0.25">
      <c r="A70" s="182" t="s">
        <v>213</v>
      </c>
      <c r="B70" s="183" t="s">
        <v>18</v>
      </c>
      <c r="C70" s="183" t="s">
        <v>18</v>
      </c>
      <c r="D70" s="183" t="s">
        <v>18</v>
      </c>
      <c r="E70" s="183" t="s">
        <v>134</v>
      </c>
      <c r="F70" s="183" t="s">
        <v>128</v>
      </c>
      <c r="G70" s="183" t="s">
        <v>189</v>
      </c>
    </row>
    <row r="71" spans="1:7" ht="15.75" customHeight="1" x14ac:dyDescent="0.25">
      <c r="A71" s="184" t="s">
        <v>214</v>
      </c>
      <c r="B71" s="185" t="s">
        <v>18</v>
      </c>
      <c r="C71" s="185" t="s">
        <v>18</v>
      </c>
      <c r="D71" s="185" t="s">
        <v>18</v>
      </c>
      <c r="E71" s="185" t="s">
        <v>134</v>
      </c>
      <c r="F71" s="185" t="s">
        <v>128</v>
      </c>
      <c r="G71" s="185" t="s">
        <v>189</v>
      </c>
    </row>
    <row r="72" spans="1:7" ht="15.75" customHeight="1" x14ac:dyDescent="0.25">
      <c r="A72" s="182" t="s">
        <v>215</v>
      </c>
      <c r="B72" s="183" t="s">
        <v>18</v>
      </c>
      <c r="C72" s="183" t="s">
        <v>18</v>
      </c>
      <c r="D72" s="183" t="s">
        <v>18</v>
      </c>
      <c r="E72" s="183" t="s">
        <v>216</v>
      </c>
      <c r="F72" s="183" t="s">
        <v>128</v>
      </c>
      <c r="G72" s="183" t="s">
        <v>189</v>
      </c>
    </row>
    <row r="73" spans="1:7" ht="15.75" customHeight="1" x14ac:dyDescent="0.25">
      <c r="A73" s="184" t="s">
        <v>217</v>
      </c>
      <c r="B73" s="185" t="s">
        <v>18</v>
      </c>
      <c r="C73" s="185" t="s">
        <v>18</v>
      </c>
      <c r="D73" s="185" t="s">
        <v>18</v>
      </c>
      <c r="E73" s="185" t="s">
        <v>216</v>
      </c>
      <c r="F73" s="185" t="s">
        <v>128</v>
      </c>
      <c r="G73" s="185" t="s">
        <v>189</v>
      </c>
    </row>
    <row r="74" spans="1:7" ht="15.75" customHeight="1" x14ac:dyDescent="0.25">
      <c r="A74" s="182" t="s">
        <v>218</v>
      </c>
      <c r="B74" s="183" t="s">
        <v>18</v>
      </c>
      <c r="C74" s="183" t="s">
        <v>18</v>
      </c>
      <c r="D74" s="183" t="s">
        <v>18</v>
      </c>
      <c r="E74" s="183" t="s">
        <v>216</v>
      </c>
      <c r="F74" s="183" t="s">
        <v>219</v>
      </c>
      <c r="G74" s="183" t="s">
        <v>220</v>
      </c>
    </row>
    <row r="75" spans="1:7" ht="15.75" customHeight="1" x14ac:dyDescent="0.25">
      <c r="A75" s="184" t="s">
        <v>221</v>
      </c>
      <c r="B75" s="185" t="s">
        <v>18</v>
      </c>
      <c r="C75" s="185" t="s">
        <v>18</v>
      </c>
      <c r="D75" s="185" t="s">
        <v>18</v>
      </c>
      <c r="E75" s="185" t="s">
        <v>216</v>
      </c>
      <c r="F75" s="185" t="s">
        <v>219</v>
      </c>
      <c r="G75" s="185" t="s">
        <v>220</v>
      </c>
    </row>
    <row r="76" spans="1:7" ht="15.75" customHeight="1" x14ac:dyDescent="0.25">
      <c r="A76" s="182" t="s">
        <v>222</v>
      </c>
      <c r="B76" s="183" t="s">
        <v>18</v>
      </c>
      <c r="C76" s="183" t="s">
        <v>18</v>
      </c>
      <c r="D76" s="183" t="s">
        <v>18</v>
      </c>
      <c r="E76" s="183" t="s">
        <v>216</v>
      </c>
      <c r="F76" s="183" t="s">
        <v>219</v>
      </c>
      <c r="G76" s="183" t="s">
        <v>220</v>
      </c>
    </row>
    <row r="77" spans="1:7" ht="15.75" customHeight="1" x14ac:dyDescent="0.25">
      <c r="A77" s="184" t="s">
        <v>223</v>
      </c>
      <c r="B77" s="185" t="s">
        <v>18</v>
      </c>
      <c r="C77" s="185" t="s">
        <v>18</v>
      </c>
      <c r="D77" s="185" t="s">
        <v>18</v>
      </c>
      <c r="E77" s="185" t="s">
        <v>216</v>
      </c>
      <c r="F77" s="185" t="s">
        <v>219</v>
      </c>
      <c r="G77" s="185" t="s">
        <v>220</v>
      </c>
    </row>
    <row r="78" spans="1:7" ht="15.75" customHeight="1" x14ac:dyDescent="0.25">
      <c r="A78" s="182" t="s">
        <v>224</v>
      </c>
      <c r="B78" s="183" t="s">
        <v>18</v>
      </c>
      <c r="C78" s="183" t="s">
        <v>18</v>
      </c>
      <c r="D78" s="183" t="s">
        <v>18</v>
      </c>
      <c r="E78" s="183" t="s">
        <v>216</v>
      </c>
      <c r="F78" s="183" t="s">
        <v>219</v>
      </c>
      <c r="G78" s="183" t="s">
        <v>220</v>
      </c>
    </row>
    <row r="79" spans="1:7" ht="15.75" customHeight="1" x14ac:dyDescent="0.25">
      <c r="A79" s="184" t="s">
        <v>225</v>
      </c>
      <c r="B79" s="185" t="s">
        <v>18</v>
      </c>
      <c r="C79" s="185" t="s">
        <v>18</v>
      </c>
      <c r="D79" s="185" t="s">
        <v>18</v>
      </c>
      <c r="E79" s="185" t="s">
        <v>216</v>
      </c>
      <c r="F79" s="185" t="s">
        <v>219</v>
      </c>
      <c r="G79" s="185" t="s">
        <v>220</v>
      </c>
    </row>
    <row r="80" spans="1:7" ht="15.75" customHeight="1" x14ac:dyDescent="0.25">
      <c r="A80" s="182" t="s">
        <v>226</v>
      </c>
      <c r="B80" s="183" t="s">
        <v>18</v>
      </c>
      <c r="C80" s="183" t="s">
        <v>18</v>
      </c>
      <c r="D80" s="183" t="s">
        <v>18</v>
      </c>
      <c r="E80" s="183" t="s">
        <v>216</v>
      </c>
      <c r="F80" s="183" t="s">
        <v>219</v>
      </c>
      <c r="G80" s="183" t="s">
        <v>220</v>
      </c>
    </row>
    <row r="81" spans="1:7" ht="15.75" customHeight="1" x14ac:dyDescent="0.25">
      <c r="A81" s="184" t="s">
        <v>227</v>
      </c>
      <c r="B81" s="185" t="s">
        <v>18</v>
      </c>
      <c r="C81" s="185" t="s">
        <v>18</v>
      </c>
      <c r="D81" s="185" t="s">
        <v>18</v>
      </c>
      <c r="E81" s="185" t="s">
        <v>216</v>
      </c>
      <c r="F81" s="185" t="s">
        <v>219</v>
      </c>
      <c r="G81" s="185" t="s">
        <v>220</v>
      </c>
    </row>
    <row r="82" spans="1:7" ht="15.75" customHeight="1" x14ac:dyDescent="0.25">
      <c r="A82" s="182" t="s">
        <v>228</v>
      </c>
      <c r="B82" s="183" t="s">
        <v>18</v>
      </c>
      <c r="C82" s="183" t="s">
        <v>18</v>
      </c>
      <c r="D82" s="183" t="s">
        <v>18</v>
      </c>
      <c r="E82" s="183" t="s">
        <v>216</v>
      </c>
      <c r="F82" s="183" t="s">
        <v>189</v>
      </c>
      <c r="G82" s="183" t="s">
        <v>148</v>
      </c>
    </row>
    <row r="83" spans="1:7" ht="15.75" customHeight="1" x14ac:dyDescent="0.25">
      <c r="A83" s="184" t="s">
        <v>229</v>
      </c>
      <c r="B83" s="185" t="s">
        <v>18</v>
      </c>
      <c r="C83" s="185" t="s">
        <v>18</v>
      </c>
      <c r="D83" s="185" t="s">
        <v>18</v>
      </c>
      <c r="E83" s="185" t="s">
        <v>216</v>
      </c>
      <c r="F83" s="185" t="s">
        <v>189</v>
      </c>
      <c r="G83" s="185" t="s">
        <v>148</v>
      </c>
    </row>
    <row r="84" spans="1:7" ht="15.75" customHeight="1" x14ac:dyDescent="0.25">
      <c r="A84" s="182" t="s">
        <v>230</v>
      </c>
      <c r="B84" s="183" t="s">
        <v>18</v>
      </c>
      <c r="C84" s="183" t="s">
        <v>18</v>
      </c>
      <c r="D84" s="183" t="s">
        <v>18</v>
      </c>
      <c r="E84" s="183" t="s">
        <v>216</v>
      </c>
      <c r="F84" s="183" t="s">
        <v>189</v>
      </c>
      <c r="G84" s="183" t="s">
        <v>148</v>
      </c>
    </row>
    <row r="85" spans="1:7" ht="15.75" customHeight="1" x14ac:dyDescent="0.25">
      <c r="A85" s="184" t="s">
        <v>231</v>
      </c>
      <c r="B85" s="185" t="s">
        <v>18</v>
      </c>
      <c r="C85" s="185" t="s">
        <v>18</v>
      </c>
      <c r="D85" s="185" t="s">
        <v>18</v>
      </c>
      <c r="E85" s="185" t="s">
        <v>216</v>
      </c>
      <c r="F85" s="185" t="s">
        <v>189</v>
      </c>
      <c r="G85" s="185" t="s">
        <v>148</v>
      </c>
    </row>
    <row r="86" spans="1:7" ht="15.75" customHeight="1" x14ac:dyDescent="0.25">
      <c r="A86" s="182" t="s">
        <v>232</v>
      </c>
      <c r="B86" s="183" t="s">
        <v>18</v>
      </c>
      <c r="C86" s="183" t="s">
        <v>18</v>
      </c>
      <c r="D86" s="183" t="s">
        <v>18</v>
      </c>
      <c r="E86" s="183" t="s">
        <v>216</v>
      </c>
      <c r="F86" s="183" t="s">
        <v>189</v>
      </c>
      <c r="G86" s="183" t="s">
        <v>148</v>
      </c>
    </row>
    <row r="87" spans="1:7" ht="15.75" customHeight="1" x14ac:dyDescent="0.25">
      <c r="A87" s="184" t="s">
        <v>233</v>
      </c>
      <c r="B87" s="185" t="s">
        <v>18</v>
      </c>
      <c r="C87" s="185" t="s">
        <v>18</v>
      </c>
      <c r="D87" s="185" t="s">
        <v>18</v>
      </c>
      <c r="E87" s="185" t="s">
        <v>216</v>
      </c>
      <c r="F87" s="185" t="s">
        <v>189</v>
      </c>
      <c r="G87" s="185" t="s">
        <v>148</v>
      </c>
    </row>
    <row r="88" spans="1:7" ht="15.75" customHeight="1" x14ac:dyDescent="0.25">
      <c r="A88" s="182" t="s">
        <v>234</v>
      </c>
      <c r="B88" s="183" t="s">
        <v>18</v>
      </c>
      <c r="C88" s="183" t="s">
        <v>18</v>
      </c>
      <c r="D88" s="183" t="s">
        <v>18</v>
      </c>
      <c r="E88" s="183" t="s">
        <v>216</v>
      </c>
      <c r="F88" s="183" t="s">
        <v>189</v>
      </c>
      <c r="G88" s="183" t="s">
        <v>148</v>
      </c>
    </row>
    <row r="89" spans="1:7" ht="15.75" customHeight="1" x14ac:dyDescent="0.25">
      <c r="A89" s="184" t="s">
        <v>235</v>
      </c>
      <c r="B89" s="185" t="s">
        <v>18</v>
      </c>
      <c r="C89" s="185" t="s">
        <v>18</v>
      </c>
      <c r="D89" s="185" t="s">
        <v>18</v>
      </c>
      <c r="E89" s="185" t="s">
        <v>216</v>
      </c>
      <c r="F89" s="185" t="s">
        <v>189</v>
      </c>
      <c r="G89" s="185" t="s">
        <v>148</v>
      </c>
    </row>
    <row r="90" spans="1:7" ht="15.75" customHeight="1" x14ac:dyDescent="0.25">
      <c r="A90" s="182" t="s">
        <v>236</v>
      </c>
      <c r="B90" s="183" t="s">
        <v>18</v>
      </c>
      <c r="C90" s="183" t="s">
        <v>237</v>
      </c>
      <c r="D90" s="183" t="s">
        <v>18</v>
      </c>
      <c r="E90" s="183" t="s">
        <v>216</v>
      </c>
      <c r="F90" s="183" t="s">
        <v>189</v>
      </c>
      <c r="G90" s="183" t="s">
        <v>148</v>
      </c>
    </row>
    <row r="91" spans="1:7" ht="15.75" customHeight="1" x14ac:dyDescent="0.25">
      <c r="A91" s="184" t="s">
        <v>238</v>
      </c>
      <c r="B91" s="185" t="s">
        <v>18</v>
      </c>
      <c r="C91" s="185" t="s">
        <v>237</v>
      </c>
      <c r="D91" s="185" t="s">
        <v>18</v>
      </c>
      <c r="E91" s="185" t="s">
        <v>216</v>
      </c>
      <c r="F91" s="185" t="s">
        <v>189</v>
      </c>
      <c r="G91" s="185" t="s">
        <v>148</v>
      </c>
    </row>
    <row r="92" spans="1:7" ht="15.75" customHeight="1" x14ac:dyDescent="0.25">
      <c r="A92" s="182" t="s">
        <v>239</v>
      </c>
      <c r="B92" s="183" t="s">
        <v>18</v>
      </c>
      <c r="C92" s="183" t="s">
        <v>237</v>
      </c>
      <c r="D92" s="183" t="s">
        <v>18</v>
      </c>
      <c r="E92" s="183" t="s">
        <v>216</v>
      </c>
      <c r="F92" s="183" t="s">
        <v>189</v>
      </c>
      <c r="G92" s="183" t="s">
        <v>148</v>
      </c>
    </row>
    <row r="93" spans="1:7" ht="15.75" customHeight="1" x14ac:dyDescent="0.25">
      <c r="A93" s="184" t="s">
        <v>240</v>
      </c>
      <c r="B93" s="185" t="s">
        <v>18</v>
      </c>
      <c r="C93" s="185" t="s">
        <v>237</v>
      </c>
      <c r="D93" s="185" t="s">
        <v>18</v>
      </c>
      <c r="E93" s="185" t="s">
        <v>216</v>
      </c>
      <c r="F93" s="185" t="s">
        <v>189</v>
      </c>
      <c r="G93" s="185" t="s">
        <v>148</v>
      </c>
    </row>
    <row r="94" spans="1:7" ht="15.75" customHeight="1" x14ac:dyDescent="0.25">
      <c r="A94" s="182" t="s">
        <v>241</v>
      </c>
      <c r="B94" s="183" t="s">
        <v>18</v>
      </c>
      <c r="C94" s="183" t="s">
        <v>237</v>
      </c>
      <c r="D94" s="183" t="s">
        <v>18</v>
      </c>
      <c r="E94" s="183" t="s">
        <v>216</v>
      </c>
      <c r="F94" s="183" t="s">
        <v>189</v>
      </c>
      <c r="G94" s="183" t="s">
        <v>148</v>
      </c>
    </row>
    <row r="95" spans="1:7" ht="15.75" customHeight="1" x14ac:dyDescent="0.25">
      <c r="A95" s="184" t="s">
        <v>242</v>
      </c>
      <c r="B95" s="185" t="s">
        <v>18</v>
      </c>
      <c r="C95" s="185" t="s">
        <v>237</v>
      </c>
      <c r="D95" s="185" t="s">
        <v>18</v>
      </c>
      <c r="E95" s="185" t="s">
        <v>216</v>
      </c>
      <c r="F95" s="185" t="s">
        <v>189</v>
      </c>
      <c r="G95" s="185" t="s">
        <v>148</v>
      </c>
    </row>
    <row r="96" spans="1:7" ht="15.75" customHeight="1" x14ac:dyDescent="0.25">
      <c r="A96" s="182" t="s">
        <v>243</v>
      </c>
      <c r="B96" s="183" t="s">
        <v>18</v>
      </c>
      <c r="C96" s="183" t="s">
        <v>237</v>
      </c>
      <c r="D96" s="183" t="s">
        <v>18</v>
      </c>
      <c r="E96" s="183" t="s">
        <v>216</v>
      </c>
      <c r="F96" s="183" t="s">
        <v>189</v>
      </c>
      <c r="G96" s="183" t="s">
        <v>148</v>
      </c>
    </row>
    <row r="97" spans="1:7" ht="15.75" customHeight="1" x14ac:dyDescent="0.25">
      <c r="A97" s="184" t="s">
        <v>244</v>
      </c>
      <c r="B97" s="185" t="s">
        <v>18</v>
      </c>
      <c r="C97" s="185" t="s">
        <v>237</v>
      </c>
      <c r="D97" s="185" t="s">
        <v>18</v>
      </c>
      <c r="E97" s="185" t="s">
        <v>216</v>
      </c>
      <c r="F97" s="185" t="s">
        <v>189</v>
      </c>
      <c r="G97" s="185" t="s">
        <v>148</v>
      </c>
    </row>
    <row r="98" spans="1:7" ht="15.75" customHeight="1" x14ac:dyDescent="0.25">
      <c r="A98" s="182" t="s">
        <v>245</v>
      </c>
      <c r="B98" s="183" t="s">
        <v>18</v>
      </c>
      <c r="C98" s="183" t="s">
        <v>237</v>
      </c>
      <c r="D98" s="183" t="s">
        <v>18</v>
      </c>
      <c r="E98" s="183" t="s">
        <v>216</v>
      </c>
      <c r="F98" s="183" t="s">
        <v>189</v>
      </c>
      <c r="G98" s="183" t="s">
        <v>148</v>
      </c>
    </row>
    <row r="99" spans="1:7" ht="15.75" customHeight="1" x14ac:dyDescent="0.25">
      <c r="A99" s="184" t="s">
        <v>246</v>
      </c>
      <c r="B99" s="185" t="s">
        <v>18</v>
      </c>
      <c r="C99" s="185" t="s">
        <v>237</v>
      </c>
      <c r="D99" s="185" t="s">
        <v>18</v>
      </c>
      <c r="E99" s="185" t="s">
        <v>216</v>
      </c>
      <c r="F99" s="185" t="s">
        <v>189</v>
      </c>
      <c r="G99" s="185" t="s">
        <v>148</v>
      </c>
    </row>
    <row r="100" spans="1:7" ht="15.75" customHeight="1" x14ac:dyDescent="0.25">
      <c r="A100" s="182" t="s">
        <v>247</v>
      </c>
      <c r="B100" s="183" t="s">
        <v>18</v>
      </c>
      <c r="C100" s="183" t="s">
        <v>237</v>
      </c>
      <c r="D100" s="183" t="s">
        <v>18</v>
      </c>
      <c r="E100" s="183" t="s">
        <v>216</v>
      </c>
      <c r="F100" s="183" t="s">
        <v>189</v>
      </c>
      <c r="G100" s="183" t="s">
        <v>148</v>
      </c>
    </row>
    <row r="101" spans="1:7" ht="15.75" customHeight="1" x14ac:dyDescent="0.25">
      <c r="A101" s="184" t="s">
        <v>248</v>
      </c>
      <c r="B101" s="185" t="s">
        <v>18</v>
      </c>
      <c r="C101" s="185" t="s">
        <v>237</v>
      </c>
      <c r="D101" s="185" t="s">
        <v>18</v>
      </c>
      <c r="E101" s="185" t="s">
        <v>216</v>
      </c>
      <c r="F101" s="185" t="s">
        <v>189</v>
      </c>
      <c r="G101" s="185" t="s">
        <v>148</v>
      </c>
    </row>
    <row r="102" spans="1:7" ht="15.75" customHeight="1" x14ac:dyDescent="0.25">
      <c r="A102" s="182" t="s">
        <v>249</v>
      </c>
      <c r="B102" s="183" t="s">
        <v>18</v>
      </c>
      <c r="C102" s="183" t="s">
        <v>237</v>
      </c>
      <c r="D102" s="183" t="s">
        <v>18</v>
      </c>
      <c r="E102" s="183" t="s">
        <v>216</v>
      </c>
      <c r="F102" s="183" t="s">
        <v>189</v>
      </c>
      <c r="G102" s="183" t="s">
        <v>148</v>
      </c>
    </row>
    <row r="103" spans="1:7" ht="15.75" customHeight="1" x14ac:dyDescent="0.25">
      <c r="A103" s="184" t="s">
        <v>250</v>
      </c>
      <c r="B103" s="185" t="s">
        <v>18</v>
      </c>
      <c r="C103" s="185" t="s">
        <v>237</v>
      </c>
      <c r="D103" s="185" t="s">
        <v>18</v>
      </c>
      <c r="E103" s="185" t="s">
        <v>216</v>
      </c>
      <c r="F103" s="185" t="s">
        <v>189</v>
      </c>
      <c r="G103" s="185" t="s">
        <v>148</v>
      </c>
    </row>
    <row r="104" spans="1:7" ht="15.75" customHeight="1" x14ac:dyDescent="0.25">
      <c r="A104" s="182" t="s">
        <v>251</v>
      </c>
      <c r="B104" s="183" t="s">
        <v>18</v>
      </c>
      <c r="C104" s="183" t="s">
        <v>237</v>
      </c>
      <c r="D104" s="183" t="s">
        <v>18</v>
      </c>
      <c r="E104" s="183" t="s">
        <v>216</v>
      </c>
      <c r="F104" s="183" t="s">
        <v>189</v>
      </c>
      <c r="G104" s="183" t="s">
        <v>148</v>
      </c>
    </row>
    <row r="105" spans="1:7" ht="15.75" customHeight="1" x14ac:dyDescent="0.25">
      <c r="A105" s="184" t="s">
        <v>252</v>
      </c>
      <c r="B105" s="185" t="s">
        <v>18</v>
      </c>
      <c r="C105" s="185" t="s">
        <v>237</v>
      </c>
      <c r="D105" s="185" t="s">
        <v>18</v>
      </c>
      <c r="E105" s="185" t="s">
        <v>216</v>
      </c>
      <c r="F105" s="185" t="s">
        <v>189</v>
      </c>
      <c r="G105" s="185" t="s">
        <v>148</v>
      </c>
    </row>
    <row r="106" spans="1:7" ht="15.75" customHeight="1" x14ac:dyDescent="0.25">
      <c r="A106" s="182" t="s">
        <v>253</v>
      </c>
      <c r="B106" s="183" t="s">
        <v>18</v>
      </c>
      <c r="C106" s="183" t="s">
        <v>237</v>
      </c>
      <c r="D106" s="183" t="s">
        <v>18</v>
      </c>
      <c r="E106" s="183" t="s">
        <v>216</v>
      </c>
      <c r="F106" s="183" t="s">
        <v>189</v>
      </c>
      <c r="G106" s="183" t="s">
        <v>148</v>
      </c>
    </row>
    <row r="107" spans="1:7" ht="15.75" customHeight="1" x14ac:dyDescent="0.25">
      <c r="A107" s="184" t="s">
        <v>254</v>
      </c>
      <c r="B107" s="185" t="s">
        <v>18</v>
      </c>
      <c r="C107" s="185" t="s">
        <v>237</v>
      </c>
      <c r="D107" s="185" t="s">
        <v>18</v>
      </c>
      <c r="E107" s="185" t="s">
        <v>216</v>
      </c>
      <c r="F107" s="185" t="s">
        <v>189</v>
      </c>
      <c r="G107" s="185" t="s">
        <v>148</v>
      </c>
    </row>
    <row r="108" spans="1:7" ht="15.75" customHeight="1" x14ac:dyDescent="0.25">
      <c r="A108" s="182" t="s">
        <v>255</v>
      </c>
      <c r="B108" s="183" t="s">
        <v>18</v>
      </c>
      <c r="C108" s="183" t="s">
        <v>237</v>
      </c>
      <c r="D108" s="183" t="s">
        <v>18</v>
      </c>
      <c r="E108" s="183" t="s">
        <v>216</v>
      </c>
      <c r="F108" s="183" t="s">
        <v>189</v>
      </c>
      <c r="G108" s="183" t="s">
        <v>148</v>
      </c>
    </row>
    <row r="109" spans="1:7" ht="15.75" customHeight="1" x14ac:dyDescent="0.25">
      <c r="A109" s="184" t="s">
        <v>256</v>
      </c>
      <c r="B109" s="185" t="s">
        <v>18</v>
      </c>
      <c r="C109" s="185" t="s">
        <v>237</v>
      </c>
      <c r="D109" s="185" t="s">
        <v>18</v>
      </c>
      <c r="E109" s="185" t="s">
        <v>216</v>
      </c>
      <c r="F109" s="185" t="s">
        <v>189</v>
      </c>
      <c r="G109" s="185" t="s">
        <v>148</v>
      </c>
    </row>
    <row r="110" spans="1:7" ht="15.75" customHeight="1" x14ac:dyDescent="0.25">
      <c r="A110" s="182" t="s">
        <v>257</v>
      </c>
      <c r="B110" s="183" t="s">
        <v>18</v>
      </c>
      <c r="C110" s="183" t="s">
        <v>237</v>
      </c>
      <c r="D110" s="183" t="s">
        <v>18</v>
      </c>
      <c r="E110" s="183" t="s">
        <v>216</v>
      </c>
      <c r="F110" s="183" t="s">
        <v>189</v>
      </c>
      <c r="G110" s="183" t="s">
        <v>148</v>
      </c>
    </row>
    <row r="111" spans="1:7" ht="15.75" customHeight="1" x14ac:dyDescent="0.25">
      <c r="A111" s="184" t="s">
        <v>258</v>
      </c>
      <c r="B111" s="185" t="s">
        <v>18</v>
      </c>
      <c r="C111" s="185" t="s">
        <v>189</v>
      </c>
      <c r="D111" s="185" t="s">
        <v>18</v>
      </c>
      <c r="E111" s="185" t="s">
        <v>216</v>
      </c>
      <c r="F111" s="185" t="s">
        <v>189</v>
      </c>
      <c r="G111" s="185" t="s">
        <v>148</v>
      </c>
    </row>
    <row r="112" spans="1:7" ht="15.75" customHeight="1" x14ac:dyDescent="0.25">
      <c r="A112" s="182" t="s">
        <v>259</v>
      </c>
      <c r="B112" s="183" t="s">
        <v>18</v>
      </c>
      <c r="C112" s="183" t="s">
        <v>189</v>
      </c>
      <c r="D112" s="183" t="s">
        <v>18</v>
      </c>
      <c r="E112" s="183" t="s">
        <v>216</v>
      </c>
      <c r="F112" s="183" t="s">
        <v>189</v>
      </c>
      <c r="G112" s="183" t="s">
        <v>148</v>
      </c>
    </row>
    <row r="113" spans="1:7" ht="15.75" customHeight="1" x14ac:dyDescent="0.25">
      <c r="A113" s="184" t="s">
        <v>260</v>
      </c>
      <c r="B113" s="185" t="s">
        <v>18</v>
      </c>
      <c r="C113" s="185" t="s">
        <v>189</v>
      </c>
      <c r="D113" s="185" t="s">
        <v>18</v>
      </c>
      <c r="E113" s="185" t="s">
        <v>216</v>
      </c>
      <c r="F113" s="185" t="s">
        <v>189</v>
      </c>
      <c r="G113" s="185" t="s">
        <v>148</v>
      </c>
    </row>
    <row r="114" spans="1:7" ht="15.75" customHeight="1" x14ac:dyDescent="0.25">
      <c r="A114" s="182" t="s">
        <v>261</v>
      </c>
      <c r="B114" s="183" t="s">
        <v>18</v>
      </c>
      <c r="C114" s="183" t="s">
        <v>189</v>
      </c>
      <c r="D114" s="183" t="s">
        <v>18</v>
      </c>
      <c r="E114" s="183" t="s">
        <v>216</v>
      </c>
      <c r="F114" s="183" t="s">
        <v>189</v>
      </c>
      <c r="G114" s="183" t="s">
        <v>148</v>
      </c>
    </row>
    <row r="115" spans="1:7" ht="15.75" customHeight="1" x14ac:dyDescent="0.25">
      <c r="A115" s="184" t="s">
        <v>262</v>
      </c>
      <c r="B115" s="185" t="s">
        <v>18</v>
      </c>
      <c r="C115" s="185" t="s">
        <v>189</v>
      </c>
      <c r="D115" s="185" t="s">
        <v>18</v>
      </c>
      <c r="E115" s="185" t="s">
        <v>216</v>
      </c>
      <c r="F115" s="185" t="s">
        <v>189</v>
      </c>
      <c r="G115" s="185" t="s">
        <v>148</v>
      </c>
    </row>
    <row r="116" spans="1:7" ht="15.75" customHeight="1" x14ac:dyDescent="0.25">
      <c r="A116" s="182" t="s">
        <v>263</v>
      </c>
      <c r="B116" s="183" t="s">
        <v>18</v>
      </c>
      <c r="C116" s="183" t="s">
        <v>189</v>
      </c>
      <c r="D116" s="183" t="s">
        <v>18</v>
      </c>
      <c r="E116" s="183" t="s">
        <v>216</v>
      </c>
      <c r="F116" s="183" t="s">
        <v>189</v>
      </c>
      <c r="G116" s="183" t="s">
        <v>148</v>
      </c>
    </row>
    <row r="117" spans="1:7" ht="15.75" customHeight="1" x14ac:dyDescent="0.25">
      <c r="A117" s="184" t="s">
        <v>264</v>
      </c>
      <c r="B117" s="185" t="s">
        <v>18</v>
      </c>
      <c r="C117" s="185" t="s">
        <v>265</v>
      </c>
      <c r="D117" s="185" t="s">
        <v>18</v>
      </c>
      <c r="E117" s="185" t="s">
        <v>216</v>
      </c>
      <c r="F117" s="185" t="s">
        <v>189</v>
      </c>
      <c r="G117" s="185" t="s">
        <v>148</v>
      </c>
    </row>
    <row r="118" spans="1:7" ht="15.75" customHeight="1" x14ac:dyDescent="0.25">
      <c r="A118" s="182" t="s">
        <v>266</v>
      </c>
      <c r="B118" s="183" t="s">
        <v>18</v>
      </c>
      <c r="C118" s="183" t="s">
        <v>265</v>
      </c>
      <c r="D118" s="183" t="s">
        <v>18</v>
      </c>
      <c r="E118" s="183" t="s">
        <v>216</v>
      </c>
      <c r="F118" s="183" t="s">
        <v>189</v>
      </c>
      <c r="G118" s="183" t="s">
        <v>148</v>
      </c>
    </row>
    <row r="119" spans="1:7" ht="15.75" customHeight="1" x14ac:dyDescent="0.25">
      <c r="A119" s="184" t="s">
        <v>267</v>
      </c>
      <c r="B119" s="185" t="s">
        <v>18</v>
      </c>
      <c r="C119" s="185" t="s">
        <v>265</v>
      </c>
      <c r="D119" s="185" t="s">
        <v>18</v>
      </c>
      <c r="E119" s="185" t="s">
        <v>216</v>
      </c>
      <c r="F119" s="185" t="s">
        <v>189</v>
      </c>
      <c r="G119" s="185" t="s">
        <v>148</v>
      </c>
    </row>
    <row r="120" spans="1:7" ht="15.75" customHeight="1" x14ac:dyDescent="0.25">
      <c r="A120" s="182" t="s">
        <v>268</v>
      </c>
      <c r="B120" s="183" t="s">
        <v>18</v>
      </c>
      <c r="C120" s="183" t="s">
        <v>265</v>
      </c>
      <c r="D120" s="183" t="s">
        <v>18</v>
      </c>
      <c r="E120" s="183" t="s">
        <v>216</v>
      </c>
      <c r="F120" s="183" t="s">
        <v>265</v>
      </c>
      <c r="G120" s="183" t="s">
        <v>172</v>
      </c>
    </row>
    <row r="121" spans="1:7" ht="15.75" customHeight="1" x14ac:dyDescent="0.25">
      <c r="A121" s="184" t="s">
        <v>269</v>
      </c>
      <c r="B121" s="185" t="s">
        <v>18</v>
      </c>
      <c r="C121" s="185" t="s">
        <v>265</v>
      </c>
      <c r="D121" s="185" t="s">
        <v>18</v>
      </c>
      <c r="E121" s="185" t="s">
        <v>216</v>
      </c>
      <c r="F121" s="185" t="s">
        <v>265</v>
      </c>
      <c r="G121" s="185" t="s">
        <v>172</v>
      </c>
    </row>
    <row r="122" spans="1:7" ht="15.75" customHeight="1" x14ac:dyDescent="0.25">
      <c r="A122" s="182" t="s">
        <v>270</v>
      </c>
      <c r="B122" s="183" t="s">
        <v>18</v>
      </c>
      <c r="C122" s="183" t="s">
        <v>265</v>
      </c>
      <c r="D122" s="183" t="s">
        <v>18</v>
      </c>
      <c r="E122" s="183" t="s">
        <v>216</v>
      </c>
      <c r="F122" s="183" t="s">
        <v>265</v>
      </c>
      <c r="G122" s="183" t="s">
        <v>172</v>
      </c>
    </row>
    <row r="123" spans="1:7" ht="15.75" customHeight="1" x14ac:dyDescent="0.25">
      <c r="A123" s="184" t="s">
        <v>271</v>
      </c>
      <c r="B123" s="185" t="s">
        <v>18</v>
      </c>
      <c r="C123" s="185" t="s">
        <v>265</v>
      </c>
      <c r="D123" s="185" t="s">
        <v>18</v>
      </c>
      <c r="E123" s="185" t="s">
        <v>216</v>
      </c>
      <c r="F123" s="185" t="s">
        <v>265</v>
      </c>
      <c r="G123" s="185" t="s">
        <v>172</v>
      </c>
    </row>
    <row r="124" spans="1:7" ht="15.75" customHeight="1" x14ac:dyDescent="0.25">
      <c r="A124" s="182" t="s">
        <v>272</v>
      </c>
      <c r="B124" s="183" t="s">
        <v>18</v>
      </c>
      <c r="C124" s="183" t="s">
        <v>265</v>
      </c>
      <c r="D124" s="183" t="s">
        <v>18</v>
      </c>
      <c r="E124" s="183" t="s">
        <v>216</v>
      </c>
      <c r="F124" s="183" t="s">
        <v>265</v>
      </c>
      <c r="G124" s="183" t="s">
        <v>172</v>
      </c>
    </row>
    <row r="125" spans="1:7" ht="15.75" customHeight="1" x14ac:dyDescent="0.25">
      <c r="A125" s="184" t="s">
        <v>273</v>
      </c>
      <c r="B125" s="185" t="s">
        <v>18</v>
      </c>
      <c r="C125" s="185" t="s">
        <v>265</v>
      </c>
      <c r="D125" s="185" t="s">
        <v>18</v>
      </c>
      <c r="E125" s="185" t="s">
        <v>216</v>
      </c>
      <c r="F125" s="185" t="s">
        <v>265</v>
      </c>
      <c r="G125" s="185" t="s">
        <v>172</v>
      </c>
    </row>
    <row r="126" spans="1:7" ht="15.75" customHeight="1" x14ac:dyDescent="0.25">
      <c r="A126" s="182" t="s">
        <v>274</v>
      </c>
      <c r="B126" s="183" t="s">
        <v>18</v>
      </c>
      <c r="C126" s="183" t="s">
        <v>265</v>
      </c>
      <c r="D126" s="183" t="s">
        <v>18</v>
      </c>
      <c r="E126" s="183" t="s">
        <v>216</v>
      </c>
      <c r="F126" s="183" t="s">
        <v>265</v>
      </c>
      <c r="G126" s="183" t="s">
        <v>172</v>
      </c>
    </row>
    <row r="127" spans="1:7" ht="15.75" customHeight="1" x14ac:dyDescent="0.25">
      <c r="A127" s="184" t="s">
        <v>275</v>
      </c>
      <c r="B127" s="185" t="s">
        <v>18</v>
      </c>
      <c r="C127" s="185" t="s">
        <v>265</v>
      </c>
      <c r="D127" s="185" t="s">
        <v>18</v>
      </c>
      <c r="E127" s="185" t="s">
        <v>216</v>
      </c>
      <c r="F127" s="185" t="s">
        <v>265</v>
      </c>
      <c r="G127" s="185" t="s">
        <v>172</v>
      </c>
    </row>
    <row r="128" spans="1:7" ht="15.75" customHeight="1" x14ac:dyDescent="0.25">
      <c r="A128" s="182" t="s">
        <v>276</v>
      </c>
      <c r="B128" s="183" t="s">
        <v>18</v>
      </c>
      <c r="C128" s="183" t="s">
        <v>265</v>
      </c>
      <c r="D128" s="183" t="s">
        <v>18</v>
      </c>
      <c r="E128" s="183" t="s">
        <v>216</v>
      </c>
      <c r="F128" s="183" t="s">
        <v>265</v>
      </c>
      <c r="G128" s="183" t="s">
        <v>172</v>
      </c>
    </row>
    <row r="129" spans="1:7" ht="15.75" customHeight="1" x14ac:dyDescent="0.25">
      <c r="A129" s="184" t="s">
        <v>277</v>
      </c>
      <c r="B129" s="185" t="s">
        <v>18</v>
      </c>
      <c r="C129" s="185" t="s">
        <v>265</v>
      </c>
      <c r="D129" s="185" t="s">
        <v>18</v>
      </c>
      <c r="E129" s="185" t="s">
        <v>216</v>
      </c>
      <c r="F129" s="185" t="s">
        <v>265</v>
      </c>
      <c r="G129" s="185" t="s">
        <v>172</v>
      </c>
    </row>
    <row r="130" spans="1:7" ht="15.75" customHeight="1" x14ac:dyDescent="0.25">
      <c r="A130" s="182" t="s">
        <v>278</v>
      </c>
      <c r="B130" s="183" t="s">
        <v>18</v>
      </c>
      <c r="C130" s="183" t="s">
        <v>265</v>
      </c>
      <c r="D130" s="183" t="s">
        <v>18</v>
      </c>
      <c r="E130" s="183" t="s">
        <v>216</v>
      </c>
      <c r="F130" s="183" t="s">
        <v>265</v>
      </c>
      <c r="G130" s="183" t="s">
        <v>172</v>
      </c>
    </row>
    <row r="131" spans="1:7" ht="15.75" customHeight="1" x14ac:dyDescent="0.25">
      <c r="A131" s="184" t="s">
        <v>279</v>
      </c>
      <c r="B131" s="185" t="s">
        <v>18</v>
      </c>
      <c r="C131" s="185" t="s">
        <v>265</v>
      </c>
      <c r="D131" s="185" t="s">
        <v>18</v>
      </c>
      <c r="E131" s="185" t="s">
        <v>216</v>
      </c>
      <c r="F131" s="185" t="s">
        <v>265</v>
      </c>
      <c r="G131" s="185" t="s">
        <v>172</v>
      </c>
    </row>
    <row r="132" spans="1:7" ht="15.75" customHeight="1" x14ac:dyDescent="0.25">
      <c r="A132" s="182" t="s">
        <v>280</v>
      </c>
      <c r="B132" s="183" t="s">
        <v>18</v>
      </c>
      <c r="C132" s="183" t="s">
        <v>237</v>
      </c>
      <c r="D132" s="183" t="s">
        <v>18</v>
      </c>
      <c r="E132" s="183" t="s">
        <v>216</v>
      </c>
      <c r="F132" s="183" t="s">
        <v>281</v>
      </c>
      <c r="G132" s="183" t="s">
        <v>134</v>
      </c>
    </row>
    <row r="133" spans="1:7" ht="15.75" customHeight="1" x14ac:dyDescent="0.25">
      <c r="A133" s="184" t="s">
        <v>282</v>
      </c>
      <c r="B133" s="185" t="s">
        <v>18</v>
      </c>
      <c r="C133" s="185" t="s">
        <v>237</v>
      </c>
      <c r="D133" s="185" t="s">
        <v>18</v>
      </c>
      <c r="E133" s="185" t="s">
        <v>216</v>
      </c>
      <c r="F133" s="185" t="s">
        <v>281</v>
      </c>
      <c r="G133" s="185" t="s">
        <v>134</v>
      </c>
    </row>
    <row r="134" spans="1:7" ht="15.75" customHeight="1" x14ac:dyDescent="0.25">
      <c r="A134" s="182" t="s">
        <v>283</v>
      </c>
      <c r="B134" s="183" t="s">
        <v>18</v>
      </c>
      <c r="C134" s="183" t="s">
        <v>237</v>
      </c>
      <c r="D134" s="183" t="s">
        <v>18</v>
      </c>
      <c r="E134" s="183" t="s">
        <v>216</v>
      </c>
      <c r="F134" s="183" t="s">
        <v>281</v>
      </c>
      <c r="G134" s="183" t="s">
        <v>134</v>
      </c>
    </row>
    <row r="135" spans="1:7" ht="15.75" customHeight="1" x14ac:dyDescent="0.25">
      <c r="A135" s="184" t="s">
        <v>284</v>
      </c>
      <c r="B135" s="185" t="s">
        <v>18</v>
      </c>
      <c r="C135" s="185" t="s">
        <v>237</v>
      </c>
      <c r="D135" s="185" t="s">
        <v>18</v>
      </c>
      <c r="E135" s="185" t="s">
        <v>216</v>
      </c>
      <c r="F135" s="185" t="s">
        <v>281</v>
      </c>
      <c r="G135" s="185" t="s">
        <v>134</v>
      </c>
    </row>
    <row r="136" spans="1:7" ht="15.75" customHeight="1" x14ac:dyDescent="0.25">
      <c r="A136" s="182" t="s">
        <v>285</v>
      </c>
      <c r="B136" s="183" t="s">
        <v>18</v>
      </c>
      <c r="C136" s="183" t="s">
        <v>237</v>
      </c>
      <c r="D136" s="183" t="s">
        <v>18</v>
      </c>
      <c r="E136" s="183" t="s">
        <v>216</v>
      </c>
      <c r="F136" s="183" t="s">
        <v>281</v>
      </c>
      <c r="G136" s="183" t="s">
        <v>134</v>
      </c>
    </row>
    <row r="137" spans="1:7" ht="15.75" customHeight="1" x14ac:dyDescent="0.25">
      <c r="A137" s="184" t="s">
        <v>286</v>
      </c>
      <c r="B137" s="185" t="s">
        <v>18</v>
      </c>
      <c r="C137" s="185" t="s">
        <v>237</v>
      </c>
      <c r="D137" s="185" t="s">
        <v>18</v>
      </c>
      <c r="E137" s="185" t="s">
        <v>216</v>
      </c>
      <c r="F137" s="185" t="s">
        <v>281</v>
      </c>
      <c r="G137" s="185" t="s">
        <v>134</v>
      </c>
    </row>
    <row r="138" spans="1:7" ht="15.75" customHeight="1" x14ac:dyDescent="0.25">
      <c r="A138" s="182" t="s">
        <v>287</v>
      </c>
      <c r="B138" s="183" t="s">
        <v>18</v>
      </c>
      <c r="C138" s="183" t="s">
        <v>237</v>
      </c>
      <c r="D138" s="183" t="s">
        <v>18</v>
      </c>
      <c r="E138" s="183" t="s">
        <v>216</v>
      </c>
      <c r="F138" s="183" t="s">
        <v>281</v>
      </c>
      <c r="G138" s="183" t="s">
        <v>134</v>
      </c>
    </row>
    <row r="139" spans="1:7" ht="15.75" customHeight="1" x14ac:dyDescent="0.25">
      <c r="A139" s="184" t="s">
        <v>288</v>
      </c>
      <c r="B139" s="185" t="s">
        <v>18</v>
      </c>
      <c r="C139" s="185" t="s">
        <v>237</v>
      </c>
      <c r="D139" s="185" t="s">
        <v>18</v>
      </c>
      <c r="E139" s="185" t="s">
        <v>216</v>
      </c>
      <c r="F139" s="185" t="s">
        <v>281</v>
      </c>
      <c r="G139" s="185" t="s">
        <v>134</v>
      </c>
    </row>
    <row r="140" spans="1:7" ht="15.75" customHeight="1" x14ac:dyDescent="0.25">
      <c r="A140" s="182" t="s">
        <v>289</v>
      </c>
      <c r="B140" s="183" t="s">
        <v>18</v>
      </c>
      <c r="C140" s="183" t="s">
        <v>237</v>
      </c>
      <c r="D140" s="183" t="s">
        <v>18</v>
      </c>
      <c r="E140" s="183" t="s">
        <v>216</v>
      </c>
      <c r="F140" s="183" t="s">
        <v>281</v>
      </c>
      <c r="G140" s="183" t="s">
        <v>134</v>
      </c>
    </row>
    <row r="141" spans="1:7" ht="15.75" customHeight="1" x14ac:dyDescent="0.25">
      <c r="A141" s="184" t="s">
        <v>290</v>
      </c>
      <c r="B141" s="185" t="s">
        <v>18</v>
      </c>
      <c r="C141" s="185" t="s">
        <v>237</v>
      </c>
      <c r="D141" s="185" t="s">
        <v>18</v>
      </c>
      <c r="E141" s="185" t="s">
        <v>216</v>
      </c>
      <c r="F141" s="185" t="s">
        <v>281</v>
      </c>
      <c r="G141" s="185" t="s">
        <v>134</v>
      </c>
    </row>
    <row r="142" spans="1:7" ht="15.75" customHeight="1" x14ac:dyDescent="0.25">
      <c r="A142" s="182" t="s">
        <v>291</v>
      </c>
      <c r="B142" s="183" t="s">
        <v>18</v>
      </c>
      <c r="C142" s="183" t="s">
        <v>237</v>
      </c>
      <c r="D142" s="183" t="s">
        <v>18</v>
      </c>
      <c r="E142" s="183" t="s">
        <v>216</v>
      </c>
      <c r="F142" s="183" t="s">
        <v>281</v>
      </c>
      <c r="G142" s="183" t="s">
        <v>134</v>
      </c>
    </row>
    <row r="143" spans="1:7" ht="15.75" customHeight="1" x14ac:dyDescent="0.25">
      <c r="A143" s="184" t="s">
        <v>292</v>
      </c>
      <c r="B143" s="185" t="s">
        <v>18</v>
      </c>
      <c r="C143" s="185" t="s">
        <v>237</v>
      </c>
      <c r="D143" s="185" t="s">
        <v>18</v>
      </c>
      <c r="E143" s="185" t="s">
        <v>216</v>
      </c>
      <c r="F143" s="185" t="s">
        <v>281</v>
      </c>
      <c r="G143" s="185" t="s">
        <v>134</v>
      </c>
    </row>
    <row r="144" spans="1:7" ht="15.75" customHeight="1" x14ac:dyDescent="0.25">
      <c r="A144" s="182" t="s">
        <v>293</v>
      </c>
      <c r="B144" s="183" t="s">
        <v>18</v>
      </c>
      <c r="C144" s="183" t="s">
        <v>237</v>
      </c>
      <c r="D144" s="183" t="s">
        <v>18</v>
      </c>
      <c r="E144" s="183" t="s">
        <v>216</v>
      </c>
      <c r="F144" s="183" t="s">
        <v>281</v>
      </c>
      <c r="G144" s="183" t="s">
        <v>134</v>
      </c>
    </row>
    <row r="145" spans="1:7" ht="15.75" customHeight="1" x14ac:dyDescent="0.25">
      <c r="A145" s="184" t="s">
        <v>294</v>
      </c>
      <c r="B145" s="185" t="s">
        <v>18</v>
      </c>
      <c r="C145" s="185" t="s">
        <v>237</v>
      </c>
      <c r="D145" s="185" t="s">
        <v>18</v>
      </c>
      <c r="E145" s="185" t="s">
        <v>216</v>
      </c>
      <c r="F145" s="185" t="s">
        <v>281</v>
      </c>
      <c r="G145" s="185" t="s">
        <v>134</v>
      </c>
    </row>
    <row r="146" spans="1:7" ht="15.75" customHeight="1" x14ac:dyDescent="0.25">
      <c r="A146" s="182" t="s">
        <v>295</v>
      </c>
      <c r="B146" s="183" t="s">
        <v>18</v>
      </c>
      <c r="C146" s="183" t="s">
        <v>237</v>
      </c>
      <c r="D146" s="183" t="s">
        <v>18</v>
      </c>
      <c r="E146" s="183" t="s">
        <v>216</v>
      </c>
      <c r="F146" s="183" t="s">
        <v>281</v>
      </c>
      <c r="G146" s="183" t="s">
        <v>134</v>
      </c>
    </row>
    <row r="147" spans="1:7" ht="15.75" customHeight="1" x14ac:dyDescent="0.25">
      <c r="A147" s="184" t="s">
        <v>296</v>
      </c>
      <c r="B147" s="185" t="s">
        <v>18</v>
      </c>
      <c r="C147" s="185" t="s">
        <v>237</v>
      </c>
      <c r="D147" s="185" t="s">
        <v>18</v>
      </c>
      <c r="E147" s="185" t="s">
        <v>216</v>
      </c>
      <c r="F147" s="185" t="s">
        <v>281</v>
      </c>
      <c r="G147" s="185" t="s">
        <v>134</v>
      </c>
    </row>
    <row r="148" spans="1:7" ht="15.75" customHeight="1" x14ac:dyDescent="0.25">
      <c r="A148" s="182" t="s">
        <v>297</v>
      </c>
      <c r="B148" s="183" t="s">
        <v>18</v>
      </c>
      <c r="C148" s="183" t="s">
        <v>237</v>
      </c>
      <c r="D148" s="183" t="s">
        <v>18</v>
      </c>
      <c r="E148" s="183" t="s">
        <v>216</v>
      </c>
      <c r="F148" s="183" t="s">
        <v>281</v>
      </c>
      <c r="G148" s="183" t="s">
        <v>134</v>
      </c>
    </row>
    <row r="149" spans="1:7" ht="15.75" customHeight="1" x14ac:dyDescent="0.25">
      <c r="A149" s="184" t="s">
        <v>298</v>
      </c>
      <c r="B149" s="185" t="s">
        <v>18</v>
      </c>
      <c r="C149" s="185" t="s">
        <v>237</v>
      </c>
      <c r="D149" s="185" t="s">
        <v>18</v>
      </c>
      <c r="E149" s="185" t="s">
        <v>216</v>
      </c>
      <c r="F149" s="185" t="s">
        <v>281</v>
      </c>
      <c r="G149" s="185" t="s">
        <v>134</v>
      </c>
    </row>
    <row r="150" spans="1:7" ht="15.75" customHeight="1" x14ac:dyDescent="0.25">
      <c r="A150" s="182" t="s">
        <v>299</v>
      </c>
      <c r="B150" s="183" t="s">
        <v>18</v>
      </c>
      <c r="C150" s="183" t="s">
        <v>237</v>
      </c>
      <c r="D150" s="183" t="s">
        <v>18</v>
      </c>
      <c r="E150" s="183" t="s">
        <v>216</v>
      </c>
      <c r="F150" s="183" t="s">
        <v>281</v>
      </c>
      <c r="G150" s="183" t="s">
        <v>134</v>
      </c>
    </row>
    <row r="151" spans="1:7" ht="15.75" customHeight="1" x14ac:dyDescent="0.25">
      <c r="A151" s="184" t="s">
        <v>300</v>
      </c>
      <c r="B151" s="185" t="s">
        <v>18</v>
      </c>
      <c r="C151" s="185" t="s">
        <v>237</v>
      </c>
      <c r="D151" s="185" t="s">
        <v>18</v>
      </c>
      <c r="E151" s="185" t="s">
        <v>216</v>
      </c>
      <c r="F151" s="185" t="s">
        <v>281</v>
      </c>
      <c r="G151" s="185" t="s">
        <v>134</v>
      </c>
    </row>
    <row r="152" spans="1:7" ht="15.75" customHeight="1" x14ac:dyDescent="0.25">
      <c r="A152" s="182" t="s">
        <v>301</v>
      </c>
      <c r="B152" s="183" t="s">
        <v>18</v>
      </c>
      <c r="C152" s="183" t="s">
        <v>237</v>
      </c>
      <c r="D152" s="183" t="s">
        <v>18</v>
      </c>
      <c r="E152" s="183" t="s">
        <v>216</v>
      </c>
      <c r="F152" s="183" t="s">
        <v>281</v>
      </c>
      <c r="G152" s="183" t="s">
        <v>134</v>
      </c>
    </row>
    <row r="153" spans="1:7" ht="15.75" customHeight="1" x14ac:dyDescent="0.25">
      <c r="A153" s="184" t="s">
        <v>302</v>
      </c>
      <c r="B153" s="185" t="s">
        <v>18</v>
      </c>
      <c r="C153" s="185" t="s">
        <v>237</v>
      </c>
      <c r="D153" s="185" t="s">
        <v>18</v>
      </c>
      <c r="E153" s="185" t="s">
        <v>216</v>
      </c>
      <c r="F153" s="185" t="s">
        <v>281</v>
      </c>
      <c r="G153" s="185" t="s">
        <v>134</v>
      </c>
    </row>
    <row r="154" spans="1:7" ht="15.75" customHeight="1" x14ac:dyDescent="0.25">
      <c r="A154" s="182" t="s">
        <v>303</v>
      </c>
      <c r="B154" s="183" t="s">
        <v>18</v>
      </c>
      <c r="C154" s="183" t="s">
        <v>237</v>
      </c>
      <c r="D154" s="183" t="s">
        <v>18</v>
      </c>
      <c r="E154" s="183" t="s">
        <v>216</v>
      </c>
      <c r="F154" s="183" t="s">
        <v>281</v>
      </c>
      <c r="G154" s="183" t="s">
        <v>134</v>
      </c>
    </row>
    <row r="155" spans="1:7" ht="15.75" customHeight="1" x14ac:dyDescent="0.25">
      <c r="A155" s="184" t="s">
        <v>304</v>
      </c>
      <c r="B155" s="185" t="s">
        <v>18</v>
      </c>
      <c r="C155" s="185" t="s">
        <v>237</v>
      </c>
      <c r="D155" s="185" t="s">
        <v>18</v>
      </c>
      <c r="E155" s="185" t="s">
        <v>216</v>
      </c>
      <c r="F155" s="185" t="s">
        <v>281</v>
      </c>
      <c r="G155" s="185" t="s">
        <v>134</v>
      </c>
    </row>
    <row r="156" spans="1:7" ht="15.75" customHeight="1" x14ac:dyDescent="0.25">
      <c r="A156" s="182" t="s">
        <v>305</v>
      </c>
      <c r="B156" s="183" t="s">
        <v>18</v>
      </c>
      <c r="C156" s="183" t="s">
        <v>237</v>
      </c>
      <c r="D156" s="183" t="s">
        <v>18</v>
      </c>
      <c r="E156" s="183" t="s">
        <v>216</v>
      </c>
      <c r="F156" s="183" t="s">
        <v>281</v>
      </c>
      <c r="G156" s="183" t="s">
        <v>134</v>
      </c>
    </row>
    <row r="157" spans="1:7" ht="15.75" customHeight="1" x14ac:dyDescent="0.25">
      <c r="A157" s="184" t="s">
        <v>306</v>
      </c>
      <c r="B157" s="185" t="s">
        <v>18</v>
      </c>
      <c r="C157" s="185" t="s">
        <v>237</v>
      </c>
      <c r="D157" s="185" t="s">
        <v>18</v>
      </c>
      <c r="E157" s="185" t="s">
        <v>216</v>
      </c>
      <c r="F157" s="185" t="s">
        <v>281</v>
      </c>
      <c r="G157" s="185" t="s">
        <v>134</v>
      </c>
    </row>
    <row r="158" spans="1:7" ht="15.75" customHeight="1" x14ac:dyDescent="0.25">
      <c r="A158" s="182" t="s">
        <v>307</v>
      </c>
      <c r="B158" s="183" t="s">
        <v>18</v>
      </c>
      <c r="C158" s="183" t="s">
        <v>237</v>
      </c>
      <c r="D158" s="183" t="s">
        <v>18</v>
      </c>
      <c r="E158" s="183" t="s">
        <v>216</v>
      </c>
      <c r="F158" s="183" t="s">
        <v>281</v>
      </c>
      <c r="G158" s="183" t="s">
        <v>134</v>
      </c>
    </row>
    <row r="159" spans="1:7" ht="15.75" customHeight="1" x14ac:dyDescent="0.25">
      <c r="A159" s="184" t="s">
        <v>308</v>
      </c>
      <c r="B159" s="185" t="s">
        <v>18</v>
      </c>
      <c r="C159" s="185" t="s">
        <v>237</v>
      </c>
      <c r="D159" s="185" t="s">
        <v>18</v>
      </c>
      <c r="E159" s="185" t="s">
        <v>216</v>
      </c>
      <c r="F159" s="185" t="s">
        <v>281</v>
      </c>
      <c r="G159" s="185" t="s">
        <v>134</v>
      </c>
    </row>
    <row r="160" spans="1:7" ht="15.75" customHeight="1" x14ac:dyDescent="0.25">
      <c r="A160" s="182" t="s">
        <v>309</v>
      </c>
      <c r="B160" s="183" t="s">
        <v>18</v>
      </c>
      <c r="C160" s="183" t="s">
        <v>237</v>
      </c>
      <c r="D160" s="183" t="s">
        <v>18</v>
      </c>
      <c r="E160" s="183" t="s">
        <v>216</v>
      </c>
      <c r="F160" s="183" t="s">
        <v>281</v>
      </c>
      <c r="G160" s="183" t="s">
        <v>134</v>
      </c>
    </row>
    <row r="161" spans="1:7" ht="15.75" customHeight="1" x14ac:dyDescent="0.25">
      <c r="A161" s="184" t="s">
        <v>310</v>
      </c>
      <c r="B161" s="185" t="s">
        <v>18</v>
      </c>
      <c r="C161" s="185" t="s">
        <v>237</v>
      </c>
      <c r="D161" s="185" t="s">
        <v>18</v>
      </c>
      <c r="E161" s="185" t="s">
        <v>216</v>
      </c>
      <c r="F161" s="185" t="s">
        <v>281</v>
      </c>
      <c r="G161" s="185" t="s">
        <v>134</v>
      </c>
    </row>
    <row r="162" spans="1:7" ht="15.75" customHeight="1" x14ac:dyDescent="0.25">
      <c r="A162" s="182" t="s">
        <v>311</v>
      </c>
      <c r="B162" s="183" t="s">
        <v>18</v>
      </c>
      <c r="C162" s="183" t="s">
        <v>237</v>
      </c>
      <c r="D162" s="183" t="s">
        <v>18</v>
      </c>
      <c r="E162" s="183" t="s">
        <v>216</v>
      </c>
      <c r="F162" s="183" t="s">
        <v>281</v>
      </c>
      <c r="G162" s="183" t="s">
        <v>134</v>
      </c>
    </row>
    <row r="163" spans="1:7" ht="15.75" customHeight="1" x14ac:dyDescent="0.25">
      <c r="A163" s="184" t="s">
        <v>312</v>
      </c>
      <c r="B163" s="185" t="s">
        <v>18</v>
      </c>
      <c r="C163" s="185" t="s">
        <v>237</v>
      </c>
      <c r="D163" s="185" t="s">
        <v>18</v>
      </c>
      <c r="E163" s="185" t="s">
        <v>216</v>
      </c>
      <c r="F163" s="185" t="s">
        <v>281</v>
      </c>
      <c r="G163" s="185" t="s">
        <v>134</v>
      </c>
    </row>
    <row r="164" spans="1:7" ht="15.75" customHeight="1" x14ac:dyDescent="0.25">
      <c r="A164" s="182" t="s">
        <v>313</v>
      </c>
      <c r="B164" s="183" t="s">
        <v>18</v>
      </c>
      <c r="C164" s="183" t="s">
        <v>237</v>
      </c>
      <c r="D164" s="183" t="s">
        <v>18</v>
      </c>
      <c r="E164" s="183" t="s">
        <v>216</v>
      </c>
      <c r="F164" s="183" t="s">
        <v>281</v>
      </c>
      <c r="G164" s="183" t="s">
        <v>134</v>
      </c>
    </row>
    <row r="165" spans="1:7" ht="15.75" customHeight="1" x14ac:dyDescent="0.25">
      <c r="A165" s="184" t="s">
        <v>314</v>
      </c>
      <c r="B165" s="185" t="s">
        <v>18</v>
      </c>
      <c r="C165" s="185" t="s">
        <v>237</v>
      </c>
      <c r="D165" s="185" t="s">
        <v>18</v>
      </c>
      <c r="E165" s="185" t="s">
        <v>216</v>
      </c>
      <c r="F165" s="185" t="s">
        <v>281</v>
      </c>
      <c r="G165" s="185" t="s">
        <v>134</v>
      </c>
    </row>
    <row r="166" spans="1:7" ht="15.75" customHeight="1" x14ac:dyDescent="0.25">
      <c r="A166" s="182" t="s">
        <v>315</v>
      </c>
      <c r="B166" s="183" t="s">
        <v>18</v>
      </c>
      <c r="C166" s="183" t="s">
        <v>237</v>
      </c>
      <c r="D166" s="183" t="s">
        <v>18</v>
      </c>
      <c r="E166" s="183" t="s">
        <v>216</v>
      </c>
      <c r="F166" s="183" t="s">
        <v>281</v>
      </c>
      <c r="G166" s="183" t="s">
        <v>134</v>
      </c>
    </row>
    <row r="167" spans="1:7" ht="15.75" customHeight="1" x14ac:dyDescent="0.25">
      <c r="A167" s="184" t="s">
        <v>316</v>
      </c>
      <c r="B167" s="185" t="s">
        <v>18</v>
      </c>
      <c r="C167" s="185" t="s">
        <v>237</v>
      </c>
      <c r="D167" s="185" t="s">
        <v>18</v>
      </c>
      <c r="E167" s="185" t="s">
        <v>216</v>
      </c>
      <c r="F167" s="185" t="s">
        <v>281</v>
      </c>
      <c r="G167" s="185" t="s">
        <v>134</v>
      </c>
    </row>
    <row r="168" spans="1:7" ht="15.75" customHeight="1" x14ac:dyDescent="0.25">
      <c r="A168" s="182" t="s">
        <v>317</v>
      </c>
      <c r="B168" s="183" t="s">
        <v>18</v>
      </c>
      <c r="C168" s="183" t="s">
        <v>237</v>
      </c>
      <c r="D168" s="183" t="s">
        <v>18</v>
      </c>
      <c r="E168" s="183" t="s">
        <v>216</v>
      </c>
      <c r="F168" s="183" t="s">
        <v>281</v>
      </c>
      <c r="G168" s="183" t="s">
        <v>134</v>
      </c>
    </row>
    <row r="169" spans="1:7" ht="15.75" customHeight="1" x14ac:dyDescent="0.25">
      <c r="A169" s="184" t="s">
        <v>318</v>
      </c>
      <c r="B169" s="185" t="s">
        <v>18</v>
      </c>
      <c r="C169" s="185" t="s">
        <v>237</v>
      </c>
      <c r="D169" s="185" t="s">
        <v>18</v>
      </c>
      <c r="E169" s="185" t="s">
        <v>216</v>
      </c>
      <c r="F169" s="185" t="s">
        <v>281</v>
      </c>
      <c r="G169" s="185" t="s">
        <v>134</v>
      </c>
    </row>
    <row r="170" spans="1:7" ht="15.75" customHeight="1" x14ac:dyDescent="0.25">
      <c r="A170" s="182" t="s">
        <v>319</v>
      </c>
      <c r="B170" s="183" t="s">
        <v>18</v>
      </c>
      <c r="C170" s="183" t="s">
        <v>237</v>
      </c>
      <c r="D170" s="183" t="s">
        <v>18</v>
      </c>
      <c r="E170" s="183" t="s">
        <v>216</v>
      </c>
      <c r="F170" s="183" t="s">
        <v>281</v>
      </c>
      <c r="G170" s="183" t="s">
        <v>134</v>
      </c>
    </row>
    <row r="171" spans="1:7" ht="15.75" customHeight="1" x14ac:dyDescent="0.25">
      <c r="A171" s="184" t="s">
        <v>320</v>
      </c>
      <c r="B171" s="185" t="s">
        <v>18</v>
      </c>
      <c r="C171" s="185" t="s">
        <v>237</v>
      </c>
      <c r="D171" s="185" t="s">
        <v>18</v>
      </c>
      <c r="E171" s="185" t="s">
        <v>216</v>
      </c>
      <c r="F171" s="185" t="s">
        <v>281</v>
      </c>
      <c r="G171" s="185" t="s">
        <v>134</v>
      </c>
    </row>
    <row r="172" spans="1:7" ht="15.75" customHeight="1" x14ac:dyDescent="0.25">
      <c r="A172" s="182" t="s">
        <v>321</v>
      </c>
      <c r="B172" s="183" t="s">
        <v>18</v>
      </c>
      <c r="C172" s="183" t="s">
        <v>237</v>
      </c>
      <c r="D172" s="183" t="s">
        <v>18</v>
      </c>
      <c r="E172" s="183" t="s">
        <v>216</v>
      </c>
      <c r="F172" s="183" t="s">
        <v>281</v>
      </c>
      <c r="G172" s="183" t="s">
        <v>134</v>
      </c>
    </row>
    <row r="173" spans="1:7" ht="15.75" customHeight="1" x14ac:dyDescent="0.25">
      <c r="A173" s="184" t="s">
        <v>322</v>
      </c>
      <c r="B173" s="185" t="s">
        <v>18</v>
      </c>
      <c r="C173" s="185" t="s">
        <v>237</v>
      </c>
      <c r="D173" s="185" t="s">
        <v>18</v>
      </c>
      <c r="E173" s="185" t="s">
        <v>216</v>
      </c>
      <c r="F173" s="185" t="s">
        <v>281</v>
      </c>
      <c r="G173" s="185" t="s">
        <v>134</v>
      </c>
    </row>
    <row r="174" spans="1:7" ht="15.75" customHeight="1" x14ac:dyDescent="0.25">
      <c r="A174" s="182" t="s">
        <v>323</v>
      </c>
      <c r="B174" s="183" t="s">
        <v>18</v>
      </c>
      <c r="C174" s="183" t="s">
        <v>237</v>
      </c>
      <c r="D174" s="183" t="s">
        <v>18</v>
      </c>
      <c r="E174" s="183" t="s">
        <v>216</v>
      </c>
      <c r="F174" s="183" t="s">
        <v>281</v>
      </c>
      <c r="G174" s="183" t="s">
        <v>134</v>
      </c>
    </row>
    <row r="175" spans="1:7" ht="15.75" customHeight="1" x14ac:dyDescent="0.25">
      <c r="A175" s="184" t="s">
        <v>324</v>
      </c>
      <c r="B175" s="185" t="s">
        <v>18</v>
      </c>
      <c r="C175" s="185" t="s">
        <v>237</v>
      </c>
      <c r="D175" s="185" t="s">
        <v>18</v>
      </c>
      <c r="E175" s="185" t="s">
        <v>216</v>
      </c>
      <c r="F175" s="185" t="s">
        <v>281</v>
      </c>
      <c r="G175" s="185" t="s">
        <v>134</v>
      </c>
    </row>
    <row r="176" spans="1:7" ht="15.75" customHeight="1" x14ac:dyDescent="0.25">
      <c r="A176" s="182" t="s">
        <v>325</v>
      </c>
      <c r="B176" s="183" t="s">
        <v>18</v>
      </c>
      <c r="C176" s="183" t="s">
        <v>237</v>
      </c>
      <c r="D176" s="183" t="s">
        <v>18</v>
      </c>
      <c r="E176" s="183" t="s">
        <v>216</v>
      </c>
      <c r="F176" s="183" t="s">
        <v>281</v>
      </c>
      <c r="G176" s="183" t="s">
        <v>134</v>
      </c>
    </row>
    <row r="177" spans="1:7" ht="15.75" customHeight="1" x14ac:dyDescent="0.25">
      <c r="A177" s="184" t="s">
        <v>326</v>
      </c>
      <c r="B177" s="185" t="s">
        <v>18</v>
      </c>
      <c r="C177" s="185" t="s">
        <v>237</v>
      </c>
      <c r="D177" s="185" t="s">
        <v>18</v>
      </c>
      <c r="E177" s="185" t="s">
        <v>216</v>
      </c>
      <c r="F177" s="185" t="s">
        <v>281</v>
      </c>
      <c r="G177" s="185" t="s">
        <v>134</v>
      </c>
    </row>
    <row r="178" spans="1:7" ht="15.75" customHeight="1" x14ac:dyDescent="0.25">
      <c r="A178" s="182" t="s">
        <v>327</v>
      </c>
      <c r="B178" s="183" t="s">
        <v>18</v>
      </c>
      <c r="C178" s="183" t="s">
        <v>237</v>
      </c>
      <c r="D178" s="183" t="s">
        <v>18</v>
      </c>
      <c r="E178" s="183" t="s">
        <v>216</v>
      </c>
      <c r="F178" s="183" t="s">
        <v>281</v>
      </c>
      <c r="G178" s="183" t="s">
        <v>134</v>
      </c>
    </row>
    <row r="179" spans="1:7" ht="15.75" customHeight="1" x14ac:dyDescent="0.25">
      <c r="A179" s="184" t="s">
        <v>328</v>
      </c>
      <c r="B179" s="185" t="s">
        <v>18</v>
      </c>
      <c r="C179" s="185" t="s">
        <v>237</v>
      </c>
      <c r="D179" s="185" t="s">
        <v>18</v>
      </c>
      <c r="E179" s="185" t="s">
        <v>216</v>
      </c>
      <c r="F179" s="185" t="s">
        <v>281</v>
      </c>
      <c r="G179" s="185" t="s">
        <v>134</v>
      </c>
    </row>
    <row r="180" spans="1:7" ht="15.75" customHeight="1" x14ac:dyDescent="0.25">
      <c r="A180" s="182" t="s">
        <v>329</v>
      </c>
      <c r="B180" s="183" t="s">
        <v>18</v>
      </c>
      <c r="C180" s="183" t="s">
        <v>237</v>
      </c>
      <c r="D180" s="183" t="s">
        <v>18</v>
      </c>
      <c r="E180" s="183" t="s">
        <v>216</v>
      </c>
      <c r="F180" s="183" t="s">
        <v>281</v>
      </c>
      <c r="G180" s="183" t="s">
        <v>134</v>
      </c>
    </row>
    <row r="181" spans="1:7" ht="15.75" customHeight="1" x14ac:dyDescent="0.25">
      <c r="A181" s="184" t="s">
        <v>330</v>
      </c>
      <c r="B181" s="185" t="s">
        <v>18</v>
      </c>
      <c r="C181" s="185" t="s">
        <v>237</v>
      </c>
      <c r="D181" s="185" t="s">
        <v>18</v>
      </c>
      <c r="E181" s="185" t="s">
        <v>216</v>
      </c>
      <c r="F181" s="185" t="s">
        <v>281</v>
      </c>
      <c r="G181" s="185" t="s">
        <v>134</v>
      </c>
    </row>
    <row r="182" spans="1:7" ht="15.75" customHeight="1" x14ac:dyDescent="0.25">
      <c r="A182" s="182" t="s">
        <v>331</v>
      </c>
      <c r="B182" s="183" t="s">
        <v>18</v>
      </c>
      <c r="C182" s="183" t="s">
        <v>237</v>
      </c>
      <c r="D182" s="183" t="s">
        <v>18</v>
      </c>
      <c r="E182" s="183" t="s">
        <v>216</v>
      </c>
      <c r="F182" s="183" t="s">
        <v>281</v>
      </c>
      <c r="G182" s="183" t="s">
        <v>134</v>
      </c>
    </row>
    <row r="183" spans="1:7" ht="15.75" customHeight="1" x14ac:dyDescent="0.25">
      <c r="A183" s="184" t="s">
        <v>332</v>
      </c>
      <c r="B183" s="185" t="s">
        <v>18</v>
      </c>
      <c r="C183" s="185" t="s">
        <v>237</v>
      </c>
      <c r="D183" s="185" t="s">
        <v>18</v>
      </c>
      <c r="E183" s="185" t="s">
        <v>216</v>
      </c>
      <c r="F183" s="185" t="s">
        <v>281</v>
      </c>
      <c r="G183" s="185" t="s">
        <v>134</v>
      </c>
    </row>
    <row r="184" spans="1:7" ht="15.75" customHeight="1" x14ac:dyDescent="0.25">
      <c r="A184" s="182" t="s">
        <v>333</v>
      </c>
      <c r="B184" s="183" t="s">
        <v>18</v>
      </c>
      <c r="C184" s="183" t="s">
        <v>237</v>
      </c>
      <c r="D184" s="183" t="s">
        <v>18</v>
      </c>
      <c r="E184" s="183" t="s">
        <v>216</v>
      </c>
      <c r="F184" s="183" t="s">
        <v>281</v>
      </c>
      <c r="G184" s="183" t="s">
        <v>134</v>
      </c>
    </row>
    <row r="185" spans="1:7" ht="15.75" customHeight="1" x14ac:dyDescent="0.25">
      <c r="A185" s="184" t="s">
        <v>334</v>
      </c>
      <c r="B185" s="185" t="s">
        <v>18</v>
      </c>
      <c r="C185" s="185" t="s">
        <v>237</v>
      </c>
      <c r="D185" s="185" t="s">
        <v>18</v>
      </c>
      <c r="E185" s="185" t="s">
        <v>216</v>
      </c>
      <c r="F185" s="185" t="s">
        <v>281</v>
      </c>
      <c r="G185" s="185" t="s">
        <v>134</v>
      </c>
    </row>
    <row r="186" spans="1:7" ht="15.75" customHeight="1" x14ac:dyDescent="0.25">
      <c r="A186" s="182" t="s">
        <v>335</v>
      </c>
      <c r="B186" s="183" t="s">
        <v>18</v>
      </c>
      <c r="C186" s="183" t="s">
        <v>237</v>
      </c>
      <c r="D186" s="183" t="s">
        <v>18</v>
      </c>
      <c r="E186" s="183" t="s">
        <v>216</v>
      </c>
      <c r="F186" s="183" t="s">
        <v>281</v>
      </c>
      <c r="G186" s="183" t="s">
        <v>134</v>
      </c>
    </row>
    <row r="187" spans="1:7" ht="15.75" customHeight="1" x14ac:dyDescent="0.25">
      <c r="A187" s="184" t="s">
        <v>336</v>
      </c>
      <c r="B187" s="185" t="s">
        <v>18</v>
      </c>
      <c r="C187" s="185" t="s">
        <v>237</v>
      </c>
      <c r="D187" s="185" t="s">
        <v>18</v>
      </c>
      <c r="E187" s="185" t="s">
        <v>216</v>
      </c>
      <c r="F187" s="185" t="s">
        <v>281</v>
      </c>
      <c r="G187" s="185" t="s">
        <v>134</v>
      </c>
    </row>
    <row r="188" spans="1:7" ht="15.75" customHeight="1" x14ac:dyDescent="0.25">
      <c r="A188" s="182" t="s">
        <v>337</v>
      </c>
      <c r="B188" s="183" t="s">
        <v>18</v>
      </c>
      <c r="C188" s="183" t="s">
        <v>237</v>
      </c>
      <c r="D188" s="183" t="s">
        <v>18</v>
      </c>
      <c r="E188" s="183" t="s">
        <v>216</v>
      </c>
      <c r="F188" s="183" t="s">
        <v>281</v>
      </c>
      <c r="G188" s="183" t="s">
        <v>134</v>
      </c>
    </row>
    <row r="189" spans="1:7" ht="15.75" customHeight="1" x14ac:dyDescent="0.25">
      <c r="A189" s="184" t="s">
        <v>338</v>
      </c>
      <c r="B189" s="185" t="s">
        <v>18</v>
      </c>
      <c r="C189" s="185" t="s">
        <v>237</v>
      </c>
      <c r="D189" s="185" t="s">
        <v>18</v>
      </c>
      <c r="E189" s="185" t="s">
        <v>216</v>
      </c>
      <c r="F189" s="185" t="s">
        <v>281</v>
      </c>
      <c r="G189" s="185" t="s">
        <v>134</v>
      </c>
    </row>
    <row r="190" spans="1:7" ht="15.75" customHeight="1" x14ac:dyDescent="0.25">
      <c r="A190" s="182" t="s">
        <v>339</v>
      </c>
      <c r="B190" s="183" t="s">
        <v>18</v>
      </c>
      <c r="C190" s="183" t="s">
        <v>237</v>
      </c>
      <c r="D190" s="183" t="s">
        <v>18</v>
      </c>
      <c r="E190" s="183" t="s">
        <v>216</v>
      </c>
      <c r="F190" s="183" t="s">
        <v>281</v>
      </c>
      <c r="G190" s="183" t="s">
        <v>134</v>
      </c>
    </row>
    <row r="191" spans="1:7" ht="15.75" customHeight="1" x14ac:dyDescent="0.25">
      <c r="A191" s="184" t="s">
        <v>340</v>
      </c>
      <c r="B191" s="185" t="s">
        <v>18</v>
      </c>
      <c r="C191" s="185" t="s">
        <v>237</v>
      </c>
      <c r="D191" s="185" t="s">
        <v>18</v>
      </c>
      <c r="E191" s="185" t="s">
        <v>216</v>
      </c>
      <c r="F191" s="185" t="s">
        <v>281</v>
      </c>
      <c r="G191" s="185" t="s">
        <v>134</v>
      </c>
    </row>
    <row r="192" spans="1:7" ht="15.75" customHeight="1" x14ac:dyDescent="0.25">
      <c r="A192" s="182" t="s">
        <v>341</v>
      </c>
      <c r="B192" s="183" t="s">
        <v>18</v>
      </c>
      <c r="C192" s="183" t="s">
        <v>237</v>
      </c>
      <c r="D192" s="183" t="s">
        <v>18</v>
      </c>
      <c r="E192" s="183" t="s">
        <v>216</v>
      </c>
      <c r="F192" s="183" t="s">
        <v>281</v>
      </c>
      <c r="G192" s="183" t="s">
        <v>134</v>
      </c>
    </row>
    <row r="193" spans="1:7" ht="15.75" customHeight="1" x14ac:dyDescent="0.25">
      <c r="A193" s="184" t="s">
        <v>342</v>
      </c>
      <c r="B193" s="185" t="s">
        <v>18</v>
      </c>
      <c r="C193" s="185" t="s">
        <v>237</v>
      </c>
      <c r="D193" s="185" t="s">
        <v>18</v>
      </c>
      <c r="E193" s="185" t="s">
        <v>216</v>
      </c>
      <c r="F193" s="185" t="s">
        <v>281</v>
      </c>
      <c r="G193" s="185" t="s">
        <v>134</v>
      </c>
    </row>
    <row r="194" spans="1:7" ht="15.75" customHeight="1" x14ac:dyDescent="0.25">
      <c r="A194" s="182" t="s">
        <v>343</v>
      </c>
      <c r="B194" s="183" t="s">
        <v>18</v>
      </c>
      <c r="C194" s="183" t="s">
        <v>237</v>
      </c>
      <c r="D194" s="183" t="s">
        <v>18</v>
      </c>
      <c r="E194" s="183" t="s">
        <v>216</v>
      </c>
      <c r="F194" s="183" t="s">
        <v>281</v>
      </c>
      <c r="G194" s="183" t="s">
        <v>134</v>
      </c>
    </row>
    <row r="195" spans="1:7" ht="15.75" customHeight="1" x14ac:dyDescent="0.25">
      <c r="A195" s="184" t="s">
        <v>344</v>
      </c>
      <c r="B195" s="185" t="s">
        <v>18</v>
      </c>
      <c r="C195" s="185" t="s">
        <v>237</v>
      </c>
      <c r="D195" s="185" t="s">
        <v>18</v>
      </c>
      <c r="E195" s="185" t="s">
        <v>216</v>
      </c>
      <c r="F195" s="185" t="s">
        <v>281</v>
      </c>
      <c r="G195" s="185" t="s">
        <v>134</v>
      </c>
    </row>
    <row r="196" spans="1:7" ht="15.75" customHeight="1" x14ac:dyDescent="0.25">
      <c r="A196" s="182" t="s">
        <v>345</v>
      </c>
      <c r="B196" s="183" t="s">
        <v>18</v>
      </c>
      <c r="C196" s="183" t="s">
        <v>237</v>
      </c>
      <c r="D196" s="183" t="s">
        <v>18</v>
      </c>
      <c r="E196" s="183" t="s">
        <v>216</v>
      </c>
      <c r="F196" s="183" t="s">
        <v>281</v>
      </c>
      <c r="G196" s="183" t="s">
        <v>134</v>
      </c>
    </row>
    <row r="197" spans="1:7" ht="15.75" customHeight="1" x14ac:dyDescent="0.25">
      <c r="A197" s="184" t="s">
        <v>346</v>
      </c>
      <c r="B197" s="185" t="s">
        <v>18</v>
      </c>
      <c r="C197" s="185" t="s">
        <v>237</v>
      </c>
      <c r="D197" s="185" t="s">
        <v>18</v>
      </c>
      <c r="E197" s="185" t="s">
        <v>216</v>
      </c>
      <c r="F197" s="185" t="s">
        <v>281</v>
      </c>
      <c r="G197" s="185" t="s">
        <v>134</v>
      </c>
    </row>
    <row r="198" spans="1:7" ht="15.75" customHeight="1" x14ac:dyDescent="0.25">
      <c r="A198" s="182" t="s">
        <v>347</v>
      </c>
      <c r="B198" s="183" t="s">
        <v>18</v>
      </c>
      <c r="C198" s="183" t="s">
        <v>237</v>
      </c>
      <c r="D198" s="183" t="s">
        <v>18</v>
      </c>
      <c r="E198" s="183" t="s">
        <v>216</v>
      </c>
      <c r="F198" s="183" t="s">
        <v>281</v>
      </c>
      <c r="G198" s="183" t="s">
        <v>134</v>
      </c>
    </row>
    <row r="199" spans="1:7" ht="15.75" customHeight="1" x14ac:dyDescent="0.25">
      <c r="A199" s="184" t="s">
        <v>348</v>
      </c>
      <c r="B199" s="185" t="s">
        <v>18</v>
      </c>
      <c r="C199" s="185" t="s">
        <v>237</v>
      </c>
      <c r="D199" s="185" t="s">
        <v>18</v>
      </c>
      <c r="E199" s="185" t="s">
        <v>216</v>
      </c>
      <c r="F199" s="185" t="s">
        <v>281</v>
      </c>
      <c r="G199" s="185" t="s">
        <v>134</v>
      </c>
    </row>
    <row r="200" spans="1:7" ht="15.75" customHeight="1" x14ac:dyDescent="0.25">
      <c r="A200" s="182" t="s">
        <v>349</v>
      </c>
      <c r="B200" s="183" t="s">
        <v>18</v>
      </c>
      <c r="C200" s="183" t="s">
        <v>237</v>
      </c>
      <c r="D200" s="183" t="s">
        <v>18</v>
      </c>
      <c r="E200" s="183" t="s">
        <v>216</v>
      </c>
      <c r="F200" s="183" t="s">
        <v>281</v>
      </c>
      <c r="G200" s="183" t="s">
        <v>134</v>
      </c>
    </row>
    <row r="201" spans="1:7" ht="15.75" customHeight="1" x14ac:dyDescent="0.25">
      <c r="A201" s="184" t="s">
        <v>350</v>
      </c>
      <c r="B201" s="185" t="s">
        <v>18</v>
      </c>
      <c r="C201" s="185" t="s">
        <v>237</v>
      </c>
      <c r="D201" s="185" t="s">
        <v>18</v>
      </c>
      <c r="E201" s="185" t="s">
        <v>216</v>
      </c>
      <c r="F201" s="185" t="s">
        <v>281</v>
      </c>
      <c r="G201" s="185" t="s">
        <v>134</v>
      </c>
    </row>
    <row r="202" spans="1:7" ht="15.75" customHeight="1" x14ac:dyDescent="0.25">
      <c r="A202" s="182" t="s">
        <v>351</v>
      </c>
      <c r="B202" s="183" t="s">
        <v>18</v>
      </c>
      <c r="C202" s="183" t="s">
        <v>237</v>
      </c>
      <c r="D202" s="183" t="s">
        <v>18</v>
      </c>
      <c r="E202" s="183" t="s">
        <v>216</v>
      </c>
      <c r="F202" s="183" t="s">
        <v>281</v>
      </c>
      <c r="G202" s="183" t="s">
        <v>134</v>
      </c>
    </row>
    <row r="203" spans="1:7" ht="15.75" customHeight="1" x14ac:dyDescent="0.25">
      <c r="A203" s="184" t="s">
        <v>352</v>
      </c>
      <c r="B203" s="185" t="s">
        <v>18</v>
      </c>
      <c r="C203" s="185" t="s">
        <v>237</v>
      </c>
      <c r="D203" s="185" t="s">
        <v>18</v>
      </c>
      <c r="E203" s="185" t="s">
        <v>216</v>
      </c>
      <c r="F203" s="185" t="s">
        <v>281</v>
      </c>
      <c r="G203" s="185" t="s">
        <v>134</v>
      </c>
    </row>
    <row r="204" spans="1:7" ht="15.75" customHeight="1" x14ac:dyDescent="0.25">
      <c r="A204" s="182" t="s">
        <v>353</v>
      </c>
      <c r="B204" s="183" t="s">
        <v>18</v>
      </c>
      <c r="C204" s="183" t="s">
        <v>237</v>
      </c>
      <c r="D204" s="183" t="s">
        <v>18</v>
      </c>
      <c r="E204" s="183" t="s">
        <v>216</v>
      </c>
      <c r="F204" s="183" t="s">
        <v>281</v>
      </c>
      <c r="G204" s="183" t="s">
        <v>134</v>
      </c>
    </row>
    <row r="205" spans="1:7" ht="15.75" customHeight="1" x14ac:dyDescent="0.25">
      <c r="A205" s="184" t="s">
        <v>354</v>
      </c>
      <c r="B205" s="185" t="s">
        <v>18</v>
      </c>
      <c r="C205" s="185" t="s">
        <v>237</v>
      </c>
      <c r="D205" s="185" t="s">
        <v>18</v>
      </c>
      <c r="E205" s="185" t="s">
        <v>216</v>
      </c>
      <c r="F205" s="185" t="s">
        <v>281</v>
      </c>
      <c r="G205" s="185" t="s">
        <v>134</v>
      </c>
    </row>
    <row r="206" spans="1:7" ht="15.75" customHeight="1" x14ac:dyDescent="0.25">
      <c r="A206" s="182" t="s">
        <v>355</v>
      </c>
      <c r="B206" s="183" t="s">
        <v>18</v>
      </c>
      <c r="C206" s="183" t="s">
        <v>237</v>
      </c>
      <c r="D206" s="183" t="s">
        <v>18</v>
      </c>
      <c r="E206" s="183" t="s">
        <v>216</v>
      </c>
      <c r="F206" s="183" t="s">
        <v>281</v>
      </c>
      <c r="G206" s="183" t="s">
        <v>134</v>
      </c>
    </row>
    <row r="207" spans="1:7" ht="15.75" customHeight="1" x14ac:dyDescent="0.25">
      <c r="A207" s="184" t="s">
        <v>356</v>
      </c>
      <c r="B207" s="185" t="s">
        <v>18</v>
      </c>
      <c r="C207" s="185" t="s">
        <v>237</v>
      </c>
      <c r="D207" s="185" t="s">
        <v>18</v>
      </c>
      <c r="E207" s="185" t="s">
        <v>216</v>
      </c>
      <c r="F207" s="185" t="s">
        <v>281</v>
      </c>
      <c r="G207" s="185" t="s">
        <v>134</v>
      </c>
    </row>
    <row r="208" spans="1:7" ht="15.75" customHeight="1" x14ac:dyDescent="0.25">
      <c r="A208" s="182" t="s">
        <v>357</v>
      </c>
      <c r="B208" s="183" t="s">
        <v>18</v>
      </c>
      <c r="C208" s="183" t="s">
        <v>237</v>
      </c>
      <c r="D208" s="183" t="s">
        <v>18</v>
      </c>
      <c r="E208" s="183" t="s">
        <v>216</v>
      </c>
      <c r="F208" s="183" t="s">
        <v>281</v>
      </c>
      <c r="G208" s="183" t="s">
        <v>134</v>
      </c>
    </row>
    <row r="209" spans="1:7" ht="15.75" customHeight="1" x14ac:dyDescent="0.25">
      <c r="A209" s="184" t="s">
        <v>358</v>
      </c>
      <c r="B209" s="185" t="s">
        <v>18</v>
      </c>
      <c r="C209" s="185" t="s">
        <v>237</v>
      </c>
      <c r="D209" s="185" t="s">
        <v>18</v>
      </c>
      <c r="E209" s="185" t="s">
        <v>216</v>
      </c>
      <c r="F209" s="185" t="s">
        <v>281</v>
      </c>
      <c r="G209" s="185" t="s">
        <v>134</v>
      </c>
    </row>
    <row r="210" spans="1:7" ht="15.75" customHeight="1" x14ac:dyDescent="0.25">
      <c r="A210" s="182" t="s">
        <v>359</v>
      </c>
      <c r="B210" s="183" t="s">
        <v>18</v>
      </c>
      <c r="C210" s="183" t="s">
        <v>237</v>
      </c>
      <c r="D210" s="183" t="s">
        <v>18</v>
      </c>
      <c r="E210" s="183" t="s">
        <v>216</v>
      </c>
      <c r="F210" s="183" t="s">
        <v>281</v>
      </c>
      <c r="G210" s="183" t="s">
        <v>134</v>
      </c>
    </row>
    <row r="211" spans="1:7" ht="15.75" customHeight="1" x14ac:dyDescent="0.25">
      <c r="A211" s="184" t="s">
        <v>360</v>
      </c>
      <c r="B211" s="185" t="s">
        <v>18</v>
      </c>
      <c r="C211" s="185" t="s">
        <v>237</v>
      </c>
      <c r="D211" s="185" t="s">
        <v>18</v>
      </c>
      <c r="E211" s="185" t="s">
        <v>216</v>
      </c>
      <c r="F211" s="185" t="s">
        <v>281</v>
      </c>
      <c r="G211" s="185" t="s">
        <v>134</v>
      </c>
    </row>
    <row r="212" spans="1:7" ht="15.75" customHeight="1" x14ac:dyDescent="0.25">
      <c r="A212" s="182" t="s">
        <v>361</v>
      </c>
      <c r="B212" s="183" t="s">
        <v>18</v>
      </c>
      <c r="C212" s="183" t="s">
        <v>237</v>
      </c>
      <c r="D212" s="183" t="s">
        <v>18</v>
      </c>
      <c r="E212" s="183" t="s">
        <v>216</v>
      </c>
      <c r="F212" s="183" t="s">
        <v>281</v>
      </c>
      <c r="G212" s="183" t="s">
        <v>134</v>
      </c>
    </row>
    <row r="213" spans="1:7" ht="15.75" customHeight="1" x14ac:dyDescent="0.25">
      <c r="A213" s="184" t="s">
        <v>362</v>
      </c>
      <c r="B213" s="185" t="s">
        <v>18</v>
      </c>
      <c r="C213" s="185" t="s">
        <v>237</v>
      </c>
      <c r="D213" s="185" t="s">
        <v>18</v>
      </c>
      <c r="E213" s="185" t="s">
        <v>216</v>
      </c>
      <c r="F213" s="185" t="s">
        <v>281</v>
      </c>
      <c r="G213" s="185" t="s">
        <v>134</v>
      </c>
    </row>
    <row r="214" spans="1:7" ht="15.75" customHeight="1" x14ac:dyDescent="0.25">
      <c r="A214" s="182" t="s">
        <v>363</v>
      </c>
      <c r="B214" s="183" t="s">
        <v>18</v>
      </c>
      <c r="C214" s="183" t="s">
        <v>237</v>
      </c>
      <c r="D214" s="183" t="s">
        <v>18</v>
      </c>
      <c r="E214" s="183" t="s">
        <v>216</v>
      </c>
      <c r="F214" s="183" t="s">
        <v>281</v>
      </c>
      <c r="G214" s="183" t="s">
        <v>134</v>
      </c>
    </row>
    <row r="215" spans="1:7" ht="15.75" customHeight="1" x14ac:dyDescent="0.25">
      <c r="A215" s="184" t="s">
        <v>364</v>
      </c>
      <c r="B215" s="185" t="s">
        <v>18</v>
      </c>
      <c r="C215" s="185" t="s">
        <v>237</v>
      </c>
      <c r="D215" s="185" t="s">
        <v>18</v>
      </c>
      <c r="E215" s="185" t="s">
        <v>216</v>
      </c>
      <c r="F215" s="185" t="s">
        <v>281</v>
      </c>
      <c r="G215" s="185" t="s">
        <v>134</v>
      </c>
    </row>
    <row r="216" spans="1:7" ht="15.75" customHeight="1" x14ac:dyDescent="0.25">
      <c r="A216" s="182" t="s">
        <v>365</v>
      </c>
      <c r="B216" s="183" t="s">
        <v>18</v>
      </c>
      <c r="C216" s="183" t="s">
        <v>237</v>
      </c>
      <c r="D216" s="183" t="s">
        <v>18</v>
      </c>
      <c r="E216" s="183" t="s">
        <v>216</v>
      </c>
      <c r="F216" s="183" t="s">
        <v>281</v>
      </c>
      <c r="G216" s="183" t="s">
        <v>134</v>
      </c>
    </row>
    <row r="217" spans="1:7" ht="15.75" customHeight="1" x14ac:dyDescent="0.25">
      <c r="A217" s="184" t="s">
        <v>366</v>
      </c>
      <c r="B217" s="185" t="s">
        <v>18</v>
      </c>
      <c r="C217" s="185" t="s">
        <v>237</v>
      </c>
      <c r="D217" s="185" t="s">
        <v>18</v>
      </c>
      <c r="E217" s="185" t="s">
        <v>216</v>
      </c>
      <c r="F217" s="185" t="s">
        <v>281</v>
      </c>
      <c r="G217" s="185" t="s">
        <v>134</v>
      </c>
    </row>
    <row r="218" spans="1:7" ht="15.75" customHeight="1" x14ac:dyDescent="0.25">
      <c r="A218" s="182" t="s">
        <v>367</v>
      </c>
      <c r="B218" s="183" t="s">
        <v>18</v>
      </c>
      <c r="C218" s="183" t="s">
        <v>237</v>
      </c>
      <c r="D218" s="183" t="s">
        <v>18</v>
      </c>
      <c r="E218" s="183" t="s">
        <v>216</v>
      </c>
      <c r="F218" s="183" t="s">
        <v>281</v>
      </c>
      <c r="G218" s="183" t="s">
        <v>134</v>
      </c>
    </row>
    <row r="219" spans="1:7" ht="15.75" customHeight="1" x14ac:dyDescent="0.25">
      <c r="A219" s="184" t="s">
        <v>368</v>
      </c>
      <c r="B219" s="185" t="s">
        <v>18</v>
      </c>
      <c r="C219" s="185" t="s">
        <v>237</v>
      </c>
      <c r="D219" s="185" t="s">
        <v>18</v>
      </c>
      <c r="E219" s="185" t="s">
        <v>216</v>
      </c>
      <c r="F219" s="185" t="s">
        <v>281</v>
      </c>
      <c r="G219" s="185" t="s">
        <v>134</v>
      </c>
    </row>
    <row r="220" spans="1:7" ht="15.75" customHeight="1" x14ac:dyDescent="0.25">
      <c r="A220" s="182" t="s">
        <v>369</v>
      </c>
      <c r="B220" s="183" t="s">
        <v>18</v>
      </c>
      <c r="C220" s="183" t="s">
        <v>237</v>
      </c>
      <c r="D220" s="183" t="s">
        <v>18</v>
      </c>
      <c r="E220" s="183" t="s">
        <v>216</v>
      </c>
      <c r="F220" s="183" t="s">
        <v>281</v>
      </c>
      <c r="G220" s="183" t="s">
        <v>134</v>
      </c>
    </row>
    <row r="221" spans="1:7" ht="15.75" customHeight="1" x14ac:dyDescent="0.25">
      <c r="A221" s="184" t="s">
        <v>370</v>
      </c>
      <c r="B221" s="185" t="s">
        <v>18</v>
      </c>
      <c r="C221" s="185" t="s">
        <v>237</v>
      </c>
      <c r="D221" s="185" t="s">
        <v>18</v>
      </c>
      <c r="E221" s="185" t="s">
        <v>216</v>
      </c>
      <c r="F221" s="185" t="s">
        <v>281</v>
      </c>
      <c r="G221" s="185" t="s">
        <v>134</v>
      </c>
    </row>
    <row r="222" spans="1:7" ht="15.75" customHeight="1" x14ac:dyDescent="0.25">
      <c r="A222" s="182" t="s">
        <v>371</v>
      </c>
      <c r="B222" s="183" t="s">
        <v>18</v>
      </c>
      <c r="C222" s="183" t="s">
        <v>237</v>
      </c>
      <c r="D222" s="183" t="s">
        <v>18</v>
      </c>
      <c r="E222" s="183" t="s">
        <v>216</v>
      </c>
      <c r="F222" s="183" t="s">
        <v>281</v>
      </c>
      <c r="G222" s="183" t="s">
        <v>134</v>
      </c>
    </row>
    <row r="223" spans="1:7" ht="15.75" customHeight="1" x14ac:dyDescent="0.25">
      <c r="A223" s="184" t="s">
        <v>372</v>
      </c>
      <c r="B223" s="185" t="s">
        <v>18</v>
      </c>
      <c r="C223" s="185" t="s">
        <v>147</v>
      </c>
      <c r="D223" s="185" t="s">
        <v>18</v>
      </c>
      <c r="E223" s="185" t="s">
        <v>188</v>
      </c>
      <c r="F223" s="185" t="s">
        <v>281</v>
      </c>
      <c r="G223" s="185" t="s">
        <v>134</v>
      </c>
    </row>
    <row r="224" spans="1:7" ht="15.75" customHeight="1" x14ac:dyDescent="0.25">
      <c r="A224" s="182" t="s">
        <v>373</v>
      </c>
      <c r="B224" s="183" t="s">
        <v>18</v>
      </c>
      <c r="C224" s="183" t="s">
        <v>147</v>
      </c>
      <c r="D224" s="183" t="s">
        <v>18</v>
      </c>
      <c r="E224" s="183" t="s">
        <v>188</v>
      </c>
      <c r="F224" s="183" t="s">
        <v>281</v>
      </c>
      <c r="G224" s="183" t="s">
        <v>134</v>
      </c>
    </row>
    <row r="225" spans="1:7" ht="15.75" customHeight="1" x14ac:dyDescent="0.25">
      <c r="A225" s="184" t="s">
        <v>374</v>
      </c>
      <c r="B225" s="185" t="s">
        <v>18</v>
      </c>
      <c r="C225" s="185" t="s">
        <v>147</v>
      </c>
      <c r="D225" s="185" t="s">
        <v>18</v>
      </c>
      <c r="E225" s="185" t="s">
        <v>188</v>
      </c>
      <c r="F225" s="185" t="s">
        <v>281</v>
      </c>
      <c r="G225" s="185" t="s">
        <v>134</v>
      </c>
    </row>
    <row r="226" spans="1:7" ht="15.75" customHeight="1" x14ac:dyDescent="0.25">
      <c r="A226" s="182" t="s">
        <v>375</v>
      </c>
      <c r="B226" s="183" t="s">
        <v>18</v>
      </c>
      <c r="C226" s="183" t="s">
        <v>147</v>
      </c>
      <c r="D226" s="183" t="s">
        <v>18</v>
      </c>
      <c r="E226" s="183" t="s">
        <v>188</v>
      </c>
      <c r="F226" s="183" t="s">
        <v>281</v>
      </c>
      <c r="G226" s="183" t="s">
        <v>134</v>
      </c>
    </row>
    <row r="227" spans="1:7" ht="15.75" customHeight="1" x14ac:dyDescent="0.25">
      <c r="A227" s="184" t="s">
        <v>376</v>
      </c>
      <c r="B227" s="185" t="s">
        <v>18</v>
      </c>
      <c r="C227" s="185" t="s">
        <v>147</v>
      </c>
      <c r="D227" s="185" t="s">
        <v>18</v>
      </c>
      <c r="E227" s="185" t="s">
        <v>188</v>
      </c>
      <c r="F227" s="185" t="s">
        <v>281</v>
      </c>
      <c r="G227" s="185" t="s">
        <v>134</v>
      </c>
    </row>
    <row r="228" spans="1:7" ht="15.75" customHeight="1" x14ac:dyDescent="0.25">
      <c r="A228" s="182" t="s">
        <v>377</v>
      </c>
      <c r="B228" s="183" t="s">
        <v>188</v>
      </c>
      <c r="C228" s="183" t="s">
        <v>147</v>
      </c>
      <c r="D228" s="183" t="s">
        <v>187</v>
      </c>
      <c r="E228" s="183" t="s">
        <v>188</v>
      </c>
      <c r="F228" s="183" t="s">
        <v>281</v>
      </c>
      <c r="G228" s="183" t="s">
        <v>134</v>
      </c>
    </row>
    <row r="229" spans="1:7" ht="15.75" customHeight="1" x14ac:dyDescent="0.25">
      <c r="A229" s="184" t="s">
        <v>378</v>
      </c>
      <c r="B229" s="185" t="s">
        <v>188</v>
      </c>
      <c r="C229" s="185" t="s">
        <v>147</v>
      </c>
      <c r="D229" s="185" t="s">
        <v>187</v>
      </c>
      <c r="E229" s="185" t="s">
        <v>188</v>
      </c>
      <c r="F229" s="185" t="s">
        <v>281</v>
      </c>
      <c r="G229" s="185" t="s">
        <v>134</v>
      </c>
    </row>
    <row r="230" spans="1:7" ht="15.75" customHeight="1" x14ac:dyDescent="0.25">
      <c r="A230" s="182" t="s">
        <v>379</v>
      </c>
      <c r="B230" s="183" t="s">
        <v>188</v>
      </c>
      <c r="C230" s="183" t="s">
        <v>147</v>
      </c>
      <c r="D230" s="183" t="s">
        <v>187</v>
      </c>
      <c r="E230" s="183" t="s">
        <v>220</v>
      </c>
      <c r="F230" s="183" t="s">
        <v>281</v>
      </c>
      <c r="G230" s="183" t="s">
        <v>134</v>
      </c>
    </row>
    <row r="231" spans="1:7" ht="15.75" customHeight="1" x14ac:dyDescent="0.25">
      <c r="A231" s="184" t="s">
        <v>380</v>
      </c>
      <c r="B231" s="185" t="s">
        <v>188</v>
      </c>
      <c r="C231" s="185" t="s">
        <v>147</v>
      </c>
      <c r="D231" s="185" t="s">
        <v>187</v>
      </c>
      <c r="E231" s="185" t="s">
        <v>220</v>
      </c>
      <c r="F231" s="185" t="s">
        <v>281</v>
      </c>
      <c r="G231" s="185" t="s">
        <v>134</v>
      </c>
    </row>
    <row r="232" spans="1:7" ht="15.75" customHeight="1" x14ac:dyDescent="0.25">
      <c r="A232" s="182" t="s">
        <v>381</v>
      </c>
      <c r="B232" s="183" t="s">
        <v>188</v>
      </c>
      <c r="C232" s="183" t="s">
        <v>147</v>
      </c>
      <c r="D232" s="183" t="s">
        <v>187</v>
      </c>
      <c r="E232" s="183" t="s">
        <v>220</v>
      </c>
      <c r="F232" s="183" t="s">
        <v>281</v>
      </c>
      <c r="G232" s="183" t="s">
        <v>134</v>
      </c>
    </row>
    <row r="233" spans="1:7" ht="15.75" customHeight="1" x14ac:dyDescent="0.25">
      <c r="A233" s="184" t="s">
        <v>382</v>
      </c>
      <c r="B233" s="185" t="s">
        <v>188</v>
      </c>
      <c r="C233" s="185" t="s">
        <v>147</v>
      </c>
      <c r="D233" s="185" t="s">
        <v>187</v>
      </c>
      <c r="E233" s="185" t="s">
        <v>220</v>
      </c>
      <c r="F233" s="185" t="s">
        <v>281</v>
      </c>
      <c r="G233" s="185" t="s">
        <v>134</v>
      </c>
    </row>
    <row r="234" spans="1:7" ht="15.75" customHeight="1" x14ac:dyDescent="0.25">
      <c r="A234" s="182" t="s">
        <v>383</v>
      </c>
      <c r="B234" s="183" t="s">
        <v>188</v>
      </c>
      <c r="C234" s="183" t="s">
        <v>147</v>
      </c>
      <c r="D234" s="183" t="s">
        <v>187</v>
      </c>
      <c r="E234" s="183" t="s">
        <v>220</v>
      </c>
      <c r="F234" s="183" t="s">
        <v>281</v>
      </c>
      <c r="G234" s="183" t="s">
        <v>134</v>
      </c>
    </row>
    <row r="235" spans="1:7" ht="15.75" customHeight="1" x14ac:dyDescent="0.25">
      <c r="A235" s="184" t="s">
        <v>384</v>
      </c>
      <c r="B235" s="185" t="s">
        <v>188</v>
      </c>
      <c r="C235" s="185" t="s">
        <v>147</v>
      </c>
      <c r="D235" s="185" t="s">
        <v>187</v>
      </c>
      <c r="E235" s="185" t="s">
        <v>220</v>
      </c>
      <c r="F235" s="185" t="s">
        <v>281</v>
      </c>
      <c r="G235" s="185" t="s">
        <v>134</v>
      </c>
    </row>
    <row r="236" spans="1:7" ht="15.75" customHeight="1" x14ac:dyDescent="0.25">
      <c r="A236" s="182" t="s">
        <v>385</v>
      </c>
      <c r="B236" s="183" t="s">
        <v>188</v>
      </c>
      <c r="C236" s="183" t="s">
        <v>147</v>
      </c>
      <c r="D236" s="183" t="s">
        <v>187</v>
      </c>
      <c r="E236" s="183" t="s">
        <v>220</v>
      </c>
      <c r="F236" s="183" t="s">
        <v>281</v>
      </c>
      <c r="G236" s="183" t="s">
        <v>134</v>
      </c>
    </row>
    <row r="237" spans="1:7" ht="15.75" customHeight="1" x14ac:dyDescent="0.25">
      <c r="A237" s="184" t="s">
        <v>386</v>
      </c>
      <c r="B237" s="185" t="s">
        <v>188</v>
      </c>
      <c r="C237" s="185" t="s">
        <v>147</v>
      </c>
      <c r="D237" s="185" t="s">
        <v>187</v>
      </c>
      <c r="E237" s="185" t="s">
        <v>220</v>
      </c>
      <c r="F237" s="185" t="s">
        <v>281</v>
      </c>
      <c r="G237" s="185" t="s">
        <v>134</v>
      </c>
    </row>
    <row r="238" spans="1:7" ht="15.75" customHeight="1" x14ac:dyDescent="0.25">
      <c r="A238" s="182" t="s">
        <v>387</v>
      </c>
      <c r="B238" s="183" t="s">
        <v>188</v>
      </c>
      <c r="C238" s="183" t="s">
        <v>147</v>
      </c>
      <c r="D238" s="183" t="s">
        <v>187</v>
      </c>
      <c r="E238" s="183" t="s">
        <v>220</v>
      </c>
      <c r="F238" s="183" t="s">
        <v>281</v>
      </c>
      <c r="G238" s="183" t="s">
        <v>134</v>
      </c>
    </row>
    <row r="239" spans="1:7" ht="15.75" customHeight="1" x14ac:dyDescent="0.25">
      <c r="A239" s="184" t="s">
        <v>388</v>
      </c>
      <c r="B239" s="185" t="s">
        <v>188</v>
      </c>
      <c r="C239" s="185" t="s">
        <v>147</v>
      </c>
      <c r="D239" s="185" t="s">
        <v>187</v>
      </c>
      <c r="E239" s="185" t="s">
        <v>220</v>
      </c>
      <c r="F239" s="185" t="s">
        <v>281</v>
      </c>
      <c r="G239" s="185" t="s">
        <v>134</v>
      </c>
    </row>
    <row r="240" spans="1:7" ht="15.75" customHeight="1" x14ac:dyDescent="0.25">
      <c r="A240" s="182" t="s">
        <v>389</v>
      </c>
      <c r="B240" s="183" t="s">
        <v>188</v>
      </c>
      <c r="C240" s="183" t="s">
        <v>147</v>
      </c>
      <c r="D240" s="183" t="s">
        <v>187</v>
      </c>
      <c r="E240" s="183" t="s">
        <v>220</v>
      </c>
      <c r="F240" s="183" t="s">
        <v>281</v>
      </c>
      <c r="G240" s="183" t="s">
        <v>134</v>
      </c>
    </row>
    <row r="241" spans="1:7" ht="15.75" customHeight="1" x14ac:dyDescent="0.25">
      <c r="A241" s="184" t="s">
        <v>390</v>
      </c>
      <c r="B241" s="185" t="s">
        <v>188</v>
      </c>
      <c r="C241" s="185" t="s">
        <v>147</v>
      </c>
      <c r="D241" s="185" t="s">
        <v>187</v>
      </c>
      <c r="E241" s="185" t="s">
        <v>220</v>
      </c>
      <c r="F241" s="185" t="s">
        <v>281</v>
      </c>
      <c r="G241" s="185" t="s">
        <v>134</v>
      </c>
    </row>
    <row r="242" spans="1:7" ht="15.75" customHeight="1" x14ac:dyDescent="0.25">
      <c r="A242" s="182" t="s">
        <v>391</v>
      </c>
      <c r="B242" s="183" t="s">
        <v>188</v>
      </c>
      <c r="C242" s="183" t="s">
        <v>147</v>
      </c>
      <c r="D242" s="183" t="s">
        <v>187</v>
      </c>
      <c r="E242" s="183" t="s">
        <v>220</v>
      </c>
      <c r="F242" s="183" t="s">
        <v>281</v>
      </c>
      <c r="G242" s="183" t="s">
        <v>134</v>
      </c>
    </row>
    <row r="243" spans="1:7" ht="15.75" customHeight="1" x14ac:dyDescent="0.25">
      <c r="A243" s="184" t="s">
        <v>392</v>
      </c>
      <c r="B243" s="185" t="s">
        <v>188</v>
      </c>
      <c r="C243" s="185" t="s">
        <v>147</v>
      </c>
      <c r="D243" s="185" t="s">
        <v>187</v>
      </c>
      <c r="E243" s="185" t="s">
        <v>220</v>
      </c>
      <c r="F243" s="185" t="s">
        <v>281</v>
      </c>
      <c r="G243" s="185" t="s">
        <v>134</v>
      </c>
    </row>
    <row r="244" spans="1:7" ht="15.75" customHeight="1" x14ac:dyDescent="0.25">
      <c r="A244" s="182" t="s">
        <v>393</v>
      </c>
      <c r="B244" s="183" t="s">
        <v>188</v>
      </c>
      <c r="C244" s="183" t="s">
        <v>147</v>
      </c>
      <c r="D244" s="183" t="s">
        <v>187</v>
      </c>
      <c r="E244" s="183" t="s">
        <v>220</v>
      </c>
      <c r="F244" s="183" t="s">
        <v>281</v>
      </c>
      <c r="G244" s="183" t="s">
        <v>134</v>
      </c>
    </row>
    <row r="245" spans="1:7" ht="15.75" customHeight="1" x14ac:dyDescent="0.25">
      <c r="A245" s="184" t="s">
        <v>394</v>
      </c>
      <c r="B245" s="185" t="s">
        <v>188</v>
      </c>
      <c r="C245" s="185" t="s">
        <v>147</v>
      </c>
      <c r="D245" s="185" t="s">
        <v>187</v>
      </c>
      <c r="E245" s="185" t="s">
        <v>220</v>
      </c>
      <c r="F245" s="185" t="s">
        <v>281</v>
      </c>
      <c r="G245" s="185" t="s">
        <v>134</v>
      </c>
    </row>
    <row r="246" spans="1:7" ht="15.75" customHeight="1" x14ac:dyDescent="0.25">
      <c r="A246" s="182" t="s">
        <v>395</v>
      </c>
      <c r="B246" s="183" t="s">
        <v>188</v>
      </c>
      <c r="C246" s="183" t="s">
        <v>147</v>
      </c>
      <c r="D246" s="183" t="s">
        <v>187</v>
      </c>
      <c r="E246" s="183" t="s">
        <v>220</v>
      </c>
      <c r="F246" s="183" t="s">
        <v>281</v>
      </c>
      <c r="G246" s="183" t="s">
        <v>134</v>
      </c>
    </row>
    <row r="247" spans="1:7" ht="15.75" customHeight="1" x14ac:dyDescent="0.25">
      <c r="A247" s="184" t="s">
        <v>396</v>
      </c>
      <c r="B247" s="185" t="s">
        <v>188</v>
      </c>
      <c r="C247" s="185" t="s">
        <v>147</v>
      </c>
      <c r="D247" s="185" t="s">
        <v>187</v>
      </c>
      <c r="E247" s="185" t="s">
        <v>220</v>
      </c>
      <c r="F247" s="185" t="s">
        <v>281</v>
      </c>
      <c r="G247" s="185" t="s">
        <v>134</v>
      </c>
    </row>
    <row r="248" spans="1:7" ht="15.75" customHeight="1" x14ac:dyDescent="0.25">
      <c r="A248" s="182" t="s">
        <v>397</v>
      </c>
      <c r="B248" s="183" t="s">
        <v>188</v>
      </c>
      <c r="C248" s="183" t="s">
        <v>147</v>
      </c>
      <c r="D248" s="183" t="s">
        <v>187</v>
      </c>
      <c r="E248" s="183" t="s">
        <v>220</v>
      </c>
      <c r="F248" s="183" t="s">
        <v>281</v>
      </c>
      <c r="G248" s="183" t="s">
        <v>134</v>
      </c>
    </row>
    <row r="249" spans="1:7" ht="15.75" customHeight="1" x14ac:dyDescent="0.25">
      <c r="A249" s="184" t="s">
        <v>398</v>
      </c>
      <c r="B249" s="185" t="s">
        <v>188</v>
      </c>
      <c r="C249" s="185" t="s">
        <v>147</v>
      </c>
      <c r="D249" s="185" t="s">
        <v>187</v>
      </c>
      <c r="E249" s="185" t="s">
        <v>220</v>
      </c>
      <c r="F249" s="185" t="s">
        <v>281</v>
      </c>
      <c r="G249" s="185" t="s">
        <v>134</v>
      </c>
    </row>
    <row r="250" spans="1:7" ht="15.75" customHeight="1" x14ac:dyDescent="0.25">
      <c r="A250" s="182" t="s">
        <v>399</v>
      </c>
      <c r="B250" s="183" t="s">
        <v>188</v>
      </c>
      <c r="C250" s="183" t="s">
        <v>147</v>
      </c>
      <c r="D250" s="183" t="s">
        <v>187</v>
      </c>
      <c r="E250" s="183" t="s">
        <v>220</v>
      </c>
      <c r="F250" s="183" t="s">
        <v>281</v>
      </c>
      <c r="G250" s="183" t="s">
        <v>134</v>
      </c>
    </row>
    <row r="251" spans="1:7" ht="15.75" customHeight="1" x14ac:dyDescent="0.25">
      <c r="A251" s="184" t="s">
        <v>400</v>
      </c>
      <c r="B251" s="185" t="s">
        <v>188</v>
      </c>
      <c r="C251" s="185" t="s">
        <v>147</v>
      </c>
      <c r="D251" s="185" t="s">
        <v>187</v>
      </c>
      <c r="E251" s="185" t="s">
        <v>220</v>
      </c>
      <c r="F251" s="185" t="s">
        <v>281</v>
      </c>
      <c r="G251" s="185" t="s">
        <v>134</v>
      </c>
    </row>
    <row r="252" spans="1:7" ht="15.75" customHeight="1" x14ac:dyDescent="0.25">
      <c r="A252" s="182" t="s">
        <v>401</v>
      </c>
      <c r="B252" s="183" t="s">
        <v>188</v>
      </c>
      <c r="C252" s="183" t="s">
        <v>147</v>
      </c>
      <c r="D252" s="183" t="s">
        <v>187</v>
      </c>
      <c r="E252" s="183" t="s">
        <v>220</v>
      </c>
      <c r="F252" s="183" t="s">
        <v>281</v>
      </c>
      <c r="G252" s="183" t="s">
        <v>134</v>
      </c>
    </row>
    <row r="253" spans="1:7" ht="15.75" customHeight="1" x14ac:dyDescent="0.25">
      <c r="A253" s="184" t="s">
        <v>402</v>
      </c>
      <c r="B253" s="185" t="s">
        <v>188</v>
      </c>
      <c r="C253" s="185" t="s">
        <v>147</v>
      </c>
      <c r="D253" s="185" t="s">
        <v>187</v>
      </c>
      <c r="E253" s="185" t="s">
        <v>220</v>
      </c>
      <c r="F253" s="185" t="s">
        <v>281</v>
      </c>
      <c r="G253" s="185" t="s">
        <v>134</v>
      </c>
    </row>
    <row r="254" spans="1:7" ht="15.75" customHeight="1" x14ac:dyDescent="0.25">
      <c r="A254" s="182" t="s">
        <v>403</v>
      </c>
      <c r="B254" s="183" t="s">
        <v>188</v>
      </c>
      <c r="C254" s="183" t="s">
        <v>147</v>
      </c>
      <c r="D254" s="183" t="s">
        <v>187</v>
      </c>
      <c r="E254" s="183" t="s">
        <v>220</v>
      </c>
      <c r="F254" s="183" t="s">
        <v>281</v>
      </c>
      <c r="G254" s="183" t="s">
        <v>134</v>
      </c>
    </row>
    <row r="255" spans="1:7" ht="15.75" customHeight="1" x14ac:dyDescent="0.25">
      <c r="A255" s="184" t="s">
        <v>404</v>
      </c>
      <c r="B255" s="185" t="s">
        <v>188</v>
      </c>
      <c r="C255" s="185" t="s">
        <v>147</v>
      </c>
      <c r="D255" s="185" t="s">
        <v>187</v>
      </c>
      <c r="E255" s="185" t="s">
        <v>220</v>
      </c>
      <c r="F255" s="185" t="s">
        <v>281</v>
      </c>
      <c r="G255" s="185" t="s">
        <v>134</v>
      </c>
    </row>
    <row r="256" spans="1:7" ht="15.75" customHeight="1" x14ac:dyDescent="0.25">
      <c r="A256" s="182" t="s">
        <v>405</v>
      </c>
      <c r="B256" s="183" t="s">
        <v>188</v>
      </c>
      <c r="C256" s="183" t="s">
        <v>147</v>
      </c>
      <c r="D256" s="183" t="s">
        <v>187</v>
      </c>
      <c r="E256" s="183" t="s">
        <v>220</v>
      </c>
      <c r="F256" s="183" t="s">
        <v>281</v>
      </c>
      <c r="G256" s="183" t="s">
        <v>134</v>
      </c>
    </row>
    <row r="257" spans="1:7" ht="15.75" customHeight="1" x14ac:dyDescent="0.25">
      <c r="A257" s="184" t="s">
        <v>406</v>
      </c>
      <c r="B257" s="185" t="s">
        <v>188</v>
      </c>
      <c r="C257" s="185" t="s">
        <v>147</v>
      </c>
      <c r="D257" s="185" t="s">
        <v>187</v>
      </c>
      <c r="E257" s="185" t="s">
        <v>220</v>
      </c>
      <c r="F257" s="185" t="s">
        <v>281</v>
      </c>
      <c r="G257" s="185" t="s">
        <v>134</v>
      </c>
    </row>
    <row r="258" spans="1:7" ht="15.75" customHeight="1" x14ac:dyDescent="0.25">
      <c r="A258" s="182" t="s">
        <v>407</v>
      </c>
      <c r="B258" s="183" t="s">
        <v>188</v>
      </c>
      <c r="C258" s="183" t="s">
        <v>147</v>
      </c>
      <c r="D258" s="183" t="s">
        <v>187</v>
      </c>
      <c r="E258" s="183" t="s">
        <v>220</v>
      </c>
      <c r="F258" s="183" t="s">
        <v>281</v>
      </c>
      <c r="G258" s="183" t="s">
        <v>134</v>
      </c>
    </row>
    <row r="259" spans="1:7" ht="15.75" customHeight="1" x14ac:dyDescent="0.25">
      <c r="A259" s="184" t="s">
        <v>408</v>
      </c>
      <c r="B259" s="185" t="s">
        <v>188</v>
      </c>
      <c r="C259" s="185" t="s">
        <v>147</v>
      </c>
      <c r="D259" s="185" t="s">
        <v>187</v>
      </c>
      <c r="E259" s="185" t="s">
        <v>220</v>
      </c>
      <c r="F259" s="185" t="s">
        <v>281</v>
      </c>
      <c r="G259" s="185" t="s">
        <v>134</v>
      </c>
    </row>
    <row r="260" spans="1:7" ht="15.75" customHeight="1" x14ac:dyDescent="0.25">
      <c r="A260" s="182" t="s">
        <v>409</v>
      </c>
      <c r="B260" s="183" t="s">
        <v>188</v>
      </c>
      <c r="C260" s="183" t="s">
        <v>147</v>
      </c>
      <c r="D260" s="183" t="s">
        <v>187</v>
      </c>
      <c r="E260" s="183" t="s">
        <v>220</v>
      </c>
      <c r="F260" s="183" t="s">
        <v>281</v>
      </c>
      <c r="G260" s="183" t="s">
        <v>134</v>
      </c>
    </row>
    <row r="261" spans="1:7" ht="15.75" customHeight="1" x14ac:dyDescent="0.25">
      <c r="A261" s="184" t="s">
        <v>410</v>
      </c>
      <c r="B261" s="185" t="s">
        <v>188</v>
      </c>
      <c r="C261" s="185" t="s">
        <v>147</v>
      </c>
      <c r="D261" s="185" t="s">
        <v>187</v>
      </c>
      <c r="E261" s="185" t="s">
        <v>220</v>
      </c>
      <c r="F261" s="185" t="s">
        <v>281</v>
      </c>
      <c r="G261" s="185" t="s">
        <v>134</v>
      </c>
    </row>
    <row r="262" spans="1:7" ht="15.75" customHeight="1" x14ac:dyDescent="0.25">
      <c r="A262" s="182" t="s">
        <v>411</v>
      </c>
      <c r="B262" s="183" t="s">
        <v>188</v>
      </c>
      <c r="C262" s="183" t="s">
        <v>147</v>
      </c>
      <c r="D262" s="183" t="s">
        <v>187</v>
      </c>
      <c r="E262" s="183" t="s">
        <v>220</v>
      </c>
      <c r="F262" s="183" t="s">
        <v>281</v>
      </c>
      <c r="G262" s="183" t="s">
        <v>134</v>
      </c>
    </row>
    <row r="263" spans="1:7" ht="15.75" customHeight="1" x14ac:dyDescent="0.25">
      <c r="A263" s="184" t="s">
        <v>412</v>
      </c>
      <c r="B263" s="185" t="s">
        <v>188</v>
      </c>
      <c r="C263" s="185" t="s">
        <v>147</v>
      </c>
      <c r="D263" s="185" t="s">
        <v>187</v>
      </c>
      <c r="E263" s="185" t="s">
        <v>220</v>
      </c>
      <c r="F263" s="185" t="s">
        <v>281</v>
      </c>
      <c r="G263" s="185" t="s">
        <v>134</v>
      </c>
    </row>
    <row r="264" spans="1:7" ht="15.75" customHeight="1" x14ac:dyDescent="0.25">
      <c r="A264" s="186" t="s">
        <v>413</v>
      </c>
      <c r="B264" s="187" t="s">
        <v>414</v>
      </c>
      <c r="C264" s="188" t="s">
        <v>147</v>
      </c>
      <c r="D264" s="188" t="s">
        <v>415</v>
      </c>
      <c r="E264" s="188" t="s">
        <v>220</v>
      </c>
      <c r="F264" s="188" t="s">
        <v>281</v>
      </c>
      <c r="G264" s="188" t="s">
        <v>134</v>
      </c>
    </row>
    <row r="265" spans="1:7" ht="15.75" customHeight="1" x14ac:dyDescent="0.25">
      <c r="A265" s="184" t="s">
        <v>416</v>
      </c>
      <c r="B265" s="185" t="s">
        <v>414</v>
      </c>
      <c r="C265" s="185" t="s">
        <v>147</v>
      </c>
      <c r="D265" s="185" t="s">
        <v>415</v>
      </c>
      <c r="E265" s="185" t="s">
        <v>220</v>
      </c>
      <c r="F265" s="185" t="s">
        <v>281</v>
      </c>
      <c r="G265" s="185" t="s">
        <v>134</v>
      </c>
    </row>
    <row r="266" spans="1:7" ht="15.75" customHeight="1" x14ac:dyDescent="0.25">
      <c r="A266" s="186" t="s">
        <v>417</v>
      </c>
      <c r="B266" s="187" t="s">
        <v>125</v>
      </c>
      <c r="C266" s="188" t="s">
        <v>147</v>
      </c>
      <c r="D266" s="188" t="s">
        <v>148</v>
      </c>
      <c r="E266" s="188" t="s">
        <v>220</v>
      </c>
      <c r="F266" s="188" t="s">
        <v>281</v>
      </c>
      <c r="G266" s="188" t="s">
        <v>134</v>
      </c>
    </row>
    <row r="267" spans="1:7" ht="15.75" customHeight="1" x14ac:dyDescent="0.25">
      <c r="A267" s="184" t="s">
        <v>418</v>
      </c>
      <c r="B267" s="185" t="s">
        <v>125</v>
      </c>
      <c r="C267" s="185" t="s">
        <v>147</v>
      </c>
      <c r="D267" s="185" t="s">
        <v>148</v>
      </c>
      <c r="E267" s="185" t="s">
        <v>220</v>
      </c>
      <c r="F267" s="185" t="s">
        <v>281</v>
      </c>
      <c r="G267" s="185" t="s">
        <v>134</v>
      </c>
    </row>
    <row r="268" spans="1:7" ht="15.75" customHeight="1" x14ac:dyDescent="0.25">
      <c r="A268" s="182" t="s">
        <v>419</v>
      </c>
      <c r="B268" s="183" t="s">
        <v>125</v>
      </c>
      <c r="C268" s="183" t="s">
        <v>147</v>
      </c>
      <c r="D268" s="183" t="s">
        <v>148</v>
      </c>
      <c r="E268" s="183" t="s">
        <v>220</v>
      </c>
      <c r="F268" s="183" t="s">
        <v>281</v>
      </c>
      <c r="G268" s="183" t="s">
        <v>134</v>
      </c>
    </row>
    <row r="269" spans="1:7" ht="15.75" customHeight="1" x14ac:dyDescent="0.25">
      <c r="A269" s="184" t="s">
        <v>420</v>
      </c>
      <c r="B269" s="185" t="s">
        <v>125</v>
      </c>
      <c r="C269" s="185" t="s">
        <v>147</v>
      </c>
      <c r="D269" s="185" t="s">
        <v>148</v>
      </c>
      <c r="E269" s="185" t="s">
        <v>220</v>
      </c>
      <c r="F269" s="185" t="s">
        <v>281</v>
      </c>
      <c r="G269" s="185" t="s">
        <v>134</v>
      </c>
    </row>
    <row r="270" spans="1:7" ht="15.75" customHeight="1" x14ac:dyDescent="0.25">
      <c r="A270" s="182" t="s">
        <v>421</v>
      </c>
      <c r="B270" s="183" t="s">
        <v>125</v>
      </c>
      <c r="C270" s="183" t="s">
        <v>147</v>
      </c>
      <c r="D270" s="183" t="s">
        <v>148</v>
      </c>
      <c r="E270" s="183" t="s">
        <v>220</v>
      </c>
      <c r="F270" s="183" t="s">
        <v>281</v>
      </c>
      <c r="G270" s="183" t="s">
        <v>134</v>
      </c>
    </row>
    <row r="271" spans="1:7" ht="15.75" customHeight="1" x14ac:dyDescent="0.25">
      <c r="A271" s="184" t="s">
        <v>422</v>
      </c>
      <c r="B271" s="185" t="s">
        <v>125</v>
      </c>
      <c r="C271" s="185" t="s">
        <v>147</v>
      </c>
      <c r="D271" s="185" t="s">
        <v>148</v>
      </c>
      <c r="E271" s="185" t="s">
        <v>220</v>
      </c>
      <c r="F271" s="185" t="s">
        <v>281</v>
      </c>
      <c r="G271" s="185" t="s">
        <v>134</v>
      </c>
    </row>
    <row r="272" spans="1:7" ht="15.75" customHeight="1" x14ac:dyDescent="0.25">
      <c r="A272" s="182" t="s">
        <v>423</v>
      </c>
      <c r="B272" s="183" t="s">
        <v>125</v>
      </c>
      <c r="C272" s="183" t="s">
        <v>147</v>
      </c>
      <c r="D272" s="183" t="s">
        <v>148</v>
      </c>
      <c r="E272" s="183" t="s">
        <v>220</v>
      </c>
      <c r="F272" s="183" t="s">
        <v>281</v>
      </c>
      <c r="G272" s="183" t="s">
        <v>134</v>
      </c>
    </row>
    <row r="273" spans="1:7" ht="15.75" customHeight="1" x14ac:dyDescent="0.25">
      <c r="A273" s="184" t="s">
        <v>424</v>
      </c>
      <c r="B273" s="185" t="s">
        <v>125</v>
      </c>
      <c r="C273" s="185" t="s">
        <v>147</v>
      </c>
      <c r="D273" s="185" t="s">
        <v>148</v>
      </c>
      <c r="E273" s="185" t="s">
        <v>220</v>
      </c>
      <c r="F273" s="185" t="s">
        <v>281</v>
      </c>
      <c r="G273" s="185" t="s">
        <v>134</v>
      </c>
    </row>
    <row r="274" spans="1:7" ht="15.75" customHeight="1" x14ac:dyDescent="0.25">
      <c r="A274" s="182" t="s">
        <v>425</v>
      </c>
      <c r="B274" s="183" t="s">
        <v>125</v>
      </c>
      <c r="C274" s="183" t="s">
        <v>147</v>
      </c>
      <c r="D274" s="183" t="s">
        <v>148</v>
      </c>
      <c r="E274" s="183" t="s">
        <v>220</v>
      </c>
      <c r="F274" s="183" t="s">
        <v>281</v>
      </c>
      <c r="G274" s="183" t="s">
        <v>134</v>
      </c>
    </row>
    <row r="275" spans="1:7" ht="15.75" customHeight="1" x14ac:dyDescent="0.25">
      <c r="A275" s="184" t="s">
        <v>426</v>
      </c>
      <c r="B275" s="185" t="s">
        <v>125</v>
      </c>
      <c r="C275" s="185" t="s">
        <v>147</v>
      </c>
      <c r="D275" s="185" t="s">
        <v>148</v>
      </c>
      <c r="E275" s="185" t="s">
        <v>220</v>
      </c>
      <c r="F275" s="185" t="s">
        <v>281</v>
      </c>
      <c r="G275" s="185" t="s">
        <v>134</v>
      </c>
    </row>
    <row r="276" spans="1:7" ht="15.75" customHeight="1" x14ac:dyDescent="0.25">
      <c r="A276" s="182" t="s">
        <v>427</v>
      </c>
      <c r="B276" s="183" t="s">
        <v>125</v>
      </c>
      <c r="C276" s="183" t="s">
        <v>147</v>
      </c>
      <c r="D276" s="183" t="s">
        <v>148</v>
      </c>
      <c r="E276" s="183" t="s">
        <v>220</v>
      </c>
      <c r="F276" s="183" t="s">
        <v>281</v>
      </c>
      <c r="G276" s="183" t="s">
        <v>134</v>
      </c>
    </row>
    <row r="277" spans="1:7" ht="15.75" customHeight="1" x14ac:dyDescent="0.25">
      <c r="A277" s="184" t="s">
        <v>428</v>
      </c>
      <c r="B277" s="185" t="s">
        <v>125</v>
      </c>
      <c r="C277" s="185" t="s">
        <v>147</v>
      </c>
      <c r="D277" s="185" t="s">
        <v>148</v>
      </c>
      <c r="E277" s="185" t="s">
        <v>220</v>
      </c>
      <c r="F277" s="185" t="s">
        <v>281</v>
      </c>
      <c r="G277" s="185" t="s">
        <v>134</v>
      </c>
    </row>
    <row r="278" spans="1:7" ht="15.75" customHeight="1" x14ac:dyDescent="0.25">
      <c r="A278" s="182" t="s">
        <v>429</v>
      </c>
      <c r="B278" s="183" t="s">
        <v>125</v>
      </c>
      <c r="C278" s="183" t="s">
        <v>147</v>
      </c>
      <c r="D278" s="183" t="s">
        <v>148</v>
      </c>
      <c r="E278" s="183" t="s">
        <v>220</v>
      </c>
      <c r="F278" s="183" t="s">
        <v>281</v>
      </c>
      <c r="G278" s="183" t="s">
        <v>134</v>
      </c>
    </row>
    <row r="279" spans="1:7" ht="15.75" customHeight="1" x14ac:dyDescent="0.25">
      <c r="A279" s="184" t="s">
        <v>430</v>
      </c>
      <c r="B279" s="185" t="s">
        <v>125</v>
      </c>
      <c r="C279" s="185" t="s">
        <v>147</v>
      </c>
      <c r="D279" s="185" t="s">
        <v>148</v>
      </c>
      <c r="E279" s="185" t="s">
        <v>220</v>
      </c>
      <c r="F279" s="185" t="s">
        <v>281</v>
      </c>
      <c r="G279" s="185" t="s">
        <v>134</v>
      </c>
    </row>
    <row r="280" spans="1:7" ht="15.75" customHeight="1" x14ac:dyDescent="0.25">
      <c r="A280" s="182" t="s">
        <v>431</v>
      </c>
      <c r="B280" s="183" t="s">
        <v>125</v>
      </c>
      <c r="C280" s="183" t="s">
        <v>147</v>
      </c>
      <c r="D280" s="183" t="s">
        <v>148</v>
      </c>
      <c r="E280" s="183" t="s">
        <v>220</v>
      </c>
      <c r="F280" s="183" t="s">
        <v>281</v>
      </c>
      <c r="G280" s="183" t="s">
        <v>134</v>
      </c>
    </row>
    <row r="281" spans="1:7" ht="15.75" customHeight="1" x14ac:dyDescent="0.25">
      <c r="A281" s="184" t="s">
        <v>432</v>
      </c>
      <c r="B281" s="185" t="s">
        <v>125</v>
      </c>
      <c r="C281" s="185" t="s">
        <v>147</v>
      </c>
      <c r="D281" s="185" t="s">
        <v>148</v>
      </c>
      <c r="E281" s="185" t="s">
        <v>220</v>
      </c>
      <c r="F281" s="185" t="s">
        <v>281</v>
      </c>
      <c r="G281" s="185" t="s">
        <v>134</v>
      </c>
    </row>
    <row r="282" spans="1:7" ht="15.75" customHeight="1" x14ac:dyDescent="0.25">
      <c r="A282" s="182" t="s">
        <v>433</v>
      </c>
      <c r="B282" s="183" t="s">
        <v>125</v>
      </c>
      <c r="C282" s="183" t="s">
        <v>147</v>
      </c>
      <c r="D282" s="183" t="s">
        <v>148</v>
      </c>
      <c r="E282" s="183" t="s">
        <v>220</v>
      </c>
      <c r="F282" s="183" t="s">
        <v>281</v>
      </c>
      <c r="G282" s="183" t="s">
        <v>134</v>
      </c>
    </row>
    <row r="283" spans="1:7" ht="15.75" customHeight="1" x14ac:dyDescent="0.25">
      <c r="A283" s="184" t="s">
        <v>434</v>
      </c>
      <c r="B283" s="185" t="s">
        <v>125</v>
      </c>
      <c r="C283" s="185" t="s">
        <v>147</v>
      </c>
      <c r="D283" s="185" t="s">
        <v>148</v>
      </c>
      <c r="E283" s="185" t="s">
        <v>220</v>
      </c>
      <c r="F283" s="185" t="s">
        <v>281</v>
      </c>
      <c r="G283" s="185" t="s">
        <v>134</v>
      </c>
    </row>
    <row r="284" spans="1:7" ht="15.75" customHeight="1" x14ac:dyDescent="0.25">
      <c r="A284" s="182" t="s">
        <v>435</v>
      </c>
      <c r="B284" s="183" t="s">
        <v>125</v>
      </c>
      <c r="C284" s="183" t="s">
        <v>147</v>
      </c>
      <c r="D284" s="183" t="s">
        <v>148</v>
      </c>
      <c r="E284" s="183" t="s">
        <v>220</v>
      </c>
      <c r="F284" s="183" t="s">
        <v>281</v>
      </c>
      <c r="G284" s="183" t="s">
        <v>134</v>
      </c>
    </row>
    <row r="285" spans="1:7" ht="15.75" customHeight="1" x14ac:dyDescent="0.25">
      <c r="A285" s="184" t="s">
        <v>436</v>
      </c>
      <c r="B285" s="185" t="s">
        <v>125</v>
      </c>
      <c r="C285" s="185" t="s">
        <v>147</v>
      </c>
      <c r="D285" s="185" t="s">
        <v>148</v>
      </c>
      <c r="E285" s="185" t="s">
        <v>220</v>
      </c>
      <c r="F285" s="185" t="s">
        <v>281</v>
      </c>
      <c r="G285" s="185" t="s">
        <v>134</v>
      </c>
    </row>
    <row r="286" spans="1:7" ht="15.75" customHeight="1" x14ac:dyDescent="0.25">
      <c r="A286" s="182" t="s">
        <v>437</v>
      </c>
      <c r="B286" s="183" t="s">
        <v>125</v>
      </c>
      <c r="C286" s="183" t="s">
        <v>147</v>
      </c>
      <c r="D286" s="183" t="s">
        <v>148</v>
      </c>
      <c r="E286" s="183" t="s">
        <v>220</v>
      </c>
      <c r="F286" s="183" t="s">
        <v>281</v>
      </c>
      <c r="G286" s="183" t="s">
        <v>134</v>
      </c>
    </row>
    <row r="287" spans="1:7" ht="15.75" customHeight="1" x14ac:dyDescent="0.25">
      <c r="A287" s="184" t="s">
        <v>438</v>
      </c>
      <c r="B287" s="185" t="s">
        <v>125</v>
      </c>
      <c r="C287" s="185" t="s">
        <v>147</v>
      </c>
      <c r="D287" s="185" t="s">
        <v>148</v>
      </c>
      <c r="E287" s="185" t="s">
        <v>220</v>
      </c>
      <c r="F287" s="185" t="s">
        <v>281</v>
      </c>
      <c r="G287" s="185" t="s">
        <v>134</v>
      </c>
    </row>
    <row r="288" spans="1:7" ht="15.75" customHeight="1" x14ac:dyDescent="0.25">
      <c r="A288" s="182" t="s">
        <v>439</v>
      </c>
      <c r="B288" s="183" t="s">
        <v>125</v>
      </c>
      <c r="C288" s="183" t="s">
        <v>147</v>
      </c>
      <c r="D288" s="183" t="s">
        <v>148</v>
      </c>
      <c r="E288" s="183" t="s">
        <v>220</v>
      </c>
      <c r="F288" s="183" t="s">
        <v>281</v>
      </c>
      <c r="G288" s="183" t="s">
        <v>134</v>
      </c>
    </row>
    <row r="289" spans="1:7" ht="15.75" customHeight="1" x14ac:dyDescent="0.25">
      <c r="A289" s="184" t="s">
        <v>440</v>
      </c>
      <c r="B289" s="185" t="s">
        <v>125</v>
      </c>
      <c r="C289" s="185" t="s">
        <v>147</v>
      </c>
      <c r="D289" s="185" t="s">
        <v>148</v>
      </c>
      <c r="E289" s="185" t="s">
        <v>220</v>
      </c>
      <c r="F289" s="185" t="s">
        <v>281</v>
      </c>
      <c r="G289" s="185" t="s">
        <v>134</v>
      </c>
    </row>
    <row r="290" spans="1:7" ht="15.75" customHeight="1" x14ac:dyDescent="0.25">
      <c r="A290" s="182" t="s">
        <v>441</v>
      </c>
      <c r="B290" s="183" t="s">
        <v>125</v>
      </c>
      <c r="C290" s="183" t="s">
        <v>147</v>
      </c>
      <c r="D290" s="183" t="s">
        <v>148</v>
      </c>
      <c r="E290" s="183" t="s">
        <v>220</v>
      </c>
      <c r="F290" s="183" t="s">
        <v>281</v>
      </c>
      <c r="G290" s="183" t="s">
        <v>134</v>
      </c>
    </row>
    <row r="291" spans="1:7" ht="15.75" customHeight="1" x14ac:dyDescent="0.25">
      <c r="A291" s="184" t="s">
        <v>442</v>
      </c>
      <c r="B291" s="185" t="s">
        <v>125</v>
      </c>
      <c r="C291" s="185" t="s">
        <v>147</v>
      </c>
      <c r="D291" s="185" t="s">
        <v>148</v>
      </c>
      <c r="E291" s="185" t="s">
        <v>220</v>
      </c>
      <c r="F291" s="185" t="s">
        <v>281</v>
      </c>
      <c r="G291" s="185" t="s">
        <v>134</v>
      </c>
    </row>
    <row r="292" spans="1:7" ht="15.75" customHeight="1" x14ac:dyDescent="0.25">
      <c r="A292" s="182" t="s">
        <v>443</v>
      </c>
      <c r="B292" s="183" t="s">
        <v>125</v>
      </c>
      <c r="C292" s="183" t="s">
        <v>147</v>
      </c>
      <c r="D292" s="183" t="s">
        <v>148</v>
      </c>
      <c r="E292" s="183" t="s">
        <v>220</v>
      </c>
      <c r="F292" s="183" t="s">
        <v>281</v>
      </c>
      <c r="G292" s="183" t="s">
        <v>134</v>
      </c>
    </row>
    <row r="293" spans="1:7" ht="15.75" customHeight="1" x14ac:dyDescent="0.25">
      <c r="A293" s="184" t="s">
        <v>444</v>
      </c>
      <c r="B293" s="185" t="s">
        <v>125</v>
      </c>
      <c r="C293" s="185" t="s">
        <v>147</v>
      </c>
      <c r="D293" s="185" t="s">
        <v>148</v>
      </c>
      <c r="E293" s="185" t="s">
        <v>220</v>
      </c>
      <c r="F293" s="185" t="s">
        <v>281</v>
      </c>
      <c r="G293" s="185" t="s">
        <v>134</v>
      </c>
    </row>
    <row r="294" spans="1:7" ht="15.75" customHeight="1" x14ac:dyDescent="0.25">
      <c r="A294" s="182" t="s">
        <v>445</v>
      </c>
      <c r="B294" s="183" t="s">
        <v>125</v>
      </c>
      <c r="C294" s="183" t="s">
        <v>147</v>
      </c>
      <c r="D294" s="183" t="s">
        <v>148</v>
      </c>
      <c r="E294" s="183" t="s">
        <v>220</v>
      </c>
      <c r="F294" s="183" t="s">
        <v>281</v>
      </c>
      <c r="G294" s="183" t="s">
        <v>134</v>
      </c>
    </row>
    <row r="295" spans="1:7" ht="15.75" customHeight="1" x14ac:dyDescent="0.25">
      <c r="A295" s="184" t="s">
        <v>446</v>
      </c>
      <c r="B295" s="185" t="s">
        <v>125</v>
      </c>
      <c r="C295" s="185" t="s">
        <v>147</v>
      </c>
      <c r="D295" s="185" t="s">
        <v>148</v>
      </c>
      <c r="E295" s="185" t="s">
        <v>220</v>
      </c>
      <c r="F295" s="185" t="s">
        <v>281</v>
      </c>
      <c r="G295" s="185" t="s">
        <v>134</v>
      </c>
    </row>
    <row r="296" spans="1:7" ht="15.75" customHeight="1" x14ac:dyDescent="0.25">
      <c r="A296" s="182" t="s">
        <v>447</v>
      </c>
      <c r="B296" s="183" t="s">
        <v>125</v>
      </c>
      <c r="C296" s="183" t="s">
        <v>147</v>
      </c>
      <c r="D296" s="183" t="s">
        <v>148</v>
      </c>
      <c r="E296" s="183" t="s">
        <v>220</v>
      </c>
      <c r="F296" s="183" t="s">
        <v>281</v>
      </c>
      <c r="G296" s="183" t="s">
        <v>134</v>
      </c>
    </row>
    <row r="297" spans="1:7" ht="15.75" customHeight="1" x14ac:dyDescent="0.25">
      <c r="A297" s="184" t="s">
        <v>448</v>
      </c>
      <c r="B297" s="185" t="s">
        <v>125</v>
      </c>
      <c r="C297" s="185" t="s">
        <v>147</v>
      </c>
      <c r="D297" s="185" t="s">
        <v>148</v>
      </c>
      <c r="E297" s="185" t="s">
        <v>220</v>
      </c>
      <c r="F297" s="185" t="s">
        <v>281</v>
      </c>
      <c r="G297" s="185" t="s">
        <v>134</v>
      </c>
    </row>
    <row r="298" spans="1:7" ht="15.75" customHeight="1" x14ac:dyDescent="0.25">
      <c r="A298" s="182" t="s">
        <v>449</v>
      </c>
      <c r="B298" s="183" t="s">
        <v>125</v>
      </c>
      <c r="C298" s="183" t="s">
        <v>147</v>
      </c>
      <c r="D298" s="183" t="s">
        <v>148</v>
      </c>
      <c r="E298" s="183" t="s">
        <v>220</v>
      </c>
      <c r="F298" s="183" t="s">
        <v>281</v>
      </c>
      <c r="G298" s="183" t="s">
        <v>134</v>
      </c>
    </row>
    <row r="299" spans="1:7" ht="15.75" customHeight="1" x14ac:dyDescent="0.25">
      <c r="A299" s="184" t="s">
        <v>450</v>
      </c>
      <c r="B299" s="185" t="s">
        <v>125</v>
      </c>
      <c r="C299" s="185" t="s">
        <v>147</v>
      </c>
      <c r="D299" s="185" t="s">
        <v>148</v>
      </c>
      <c r="E299" s="185" t="s">
        <v>220</v>
      </c>
      <c r="F299" s="185" t="s">
        <v>281</v>
      </c>
      <c r="G299" s="185" t="s">
        <v>134</v>
      </c>
    </row>
    <row r="300" spans="1:7" ht="15.75" customHeight="1" x14ac:dyDescent="0.25">
      <c r="A300" s="182" t="s">
        <v>451</v>
      </c>
      <c r="B300" s="183" t="s">
        <v>125</v>
      </c>
      <c r="C300" s="183" t="s">
        <v>147</v>
      </c>
      <c r="D300" s="183" t="s">
        <v>148</v>
      </c>
      <c r="E300" s="183" t="s">
        <v>220</v>
      </c>
      <c r="F300" s="183" t="s">
        <v>281</v>
      </c>
      <c r="G300" s="183" t="s">
        <v>134</v>
      </c>
    </row>
    <row r="301" spans="1:7" ht="15.75" customHeight="1" x14ac:dyDescent="0.25">
      <c r="A301" s="184" t="s">
        <v>452</v>
      </c>
      <c r="B301" s="185" t="s">
        <v>125</v>
      </c>
      <c r="C301" s="185" t="s">
        <v>147</v>
      </c>
      <c r="D301" s="185" t="s">
        <v>148</v>
      </c>
      <c r="E301" s="185" t="s">
        <v>220</v>
      </c>
      <c r="F301" s="185" t="s">
        <v>281</v>
      </c>
      <c r="G301" s="185" t="s">
        <v>134</v>
      </c>
    </row>
    <row r="302" spans="1:7" ht="15.75" customHeight="1" x14ac:dyDescent="0.25">
      <c r="A302" s="182" t="s">
        <v>453</v>
      </c>
      <c r="B302" s="183" t="s">
        <v>125</v>
      </c>
      <c r="C302" s="183" t="s">
        <v>147</v>
      </c>
      <c r="D302" s="183" t="s">
        <v>148</v>
      </c>
      <c r="E302" s="183" t="s">
        <v>220</v>
      </c>
      <c r="F302" s="183" t="s">
        <v>281</v>
      </c>
      <c r="G302" s="183" t="s">
        <v>134</v>
      </c>
    </row>
    <row r="303" spans="1:7" ht="15.75" customHeight="1" x14ac:dyDescent="0.25">
      <c r="A303" s="184" t="s">
        <v>454</v>
      </c>
      <c r="B303" s="185" t="s">
        <v>125</v>
      </c>
      <c r="C303" s="185" t="s">
        <v>147</v>
      </c>
      <c r="D303" s="185" t="s">
        <v>148</v>
      </c>
      <c r="E303" s="185" t="s">
        <v>220</v>
      </c>
      <c r="F303" s="185" t="s">
        <v>281</v>
      </c>
      <c r="G303" s="185" t="s">
        <v>134</v>
      </c>
    </row>
    <row r="304" spans="1:7" ht="15.75" customHeight="1" x14ac:dyDescent="0.25">
      <c r="A304" s="182" t="s">
        <v>455</v>
      </c>
      <c r="B304" s="183" t="s">
        <v>125</v>
      </c>
      <c r="C304" s="183" t="s">
        <v>147</v>
      </c>
      <c r="D304" s="183" t="s">
        <v>148</v>
      </c>
      <c r="E304" s="183" t="s">
        <v>220</v>
      </c>
      <c r="F304" s="183" t="s">
        <v>281</v>
      </c>
      <c r="G304" s="183" t="s">
        <v>134</v>
      </c>
    </row>
    <row r="305" spans="1:7" ht="15.75" customHeight="1" x14ac:dyDescent="0.25">
      <c r="A305" s="184" t="s">
        <v>456</v>
      </c>
      <c r="B305" s="185" t="s">
        <v>125</v>
      </c>
      <c r="C305" s="185" t="s">
        <v>147</v>
      </c>
      <c r="D305" s="185" t="s">
        <v>148</v>
      </c>
      <c r="E305" s="185" t="s">
        <v>220</v>
      </c>
      <c r="F305" s="185" t="s">
        <v>281</v>
      </c>
      <c r="G305" s="185" t="s">
        <v>134</v>
      </c>
    </row>
    <row r="306" spans="1:7" ht="15.75" customHeight="1" x14ac:dyDescent="0.25">
      <c r="A306" s="182" t="s">
        <v>457</v>
      </c>
      <c r="B306" s="183" t="s">
        <v>125</v>
      </c>
      <c r="C306" s="183" t="s">
        <v>147</v>
      </c>
      <c r="D306" s="183" t="s">
        <v>148</v>
      </c>
      <c r="E306" s="183" t="s">
        <v>220</v>
      </c>
      <c r="F306" s="183" t="s">
        <v>281</v>
      </c>
      <c r="G306" s="183" t="s">
        <v>134</v>
      </c>
    </row>
    <row r="307" spans="1:7" ht="15.75" customHeight="1" x14ac:dyDescent="0.25">
      <c r="A307" s="184" t="s">
        <v>458</v>
      </c>
      <c r="B307" s="185" t="s">
        <v>125</v>
      </c>
      <c r="C307" s="185" t="s">
        <v>147</v>
      </c>
      <c r="D307" s="185" t="s">
        <v>148</v>
      </c>
      <c r="E307" s="185" t="s">
        <v>220</v>
      </c>
      <c r="F307" s="185" t="s">
        <v>281</v>
      </c>
      <c r="G307" s="185" t="s">
        <v>134</v>
      </c>
    </row>
    <row r="308" spans="1:7" ht="15.75" customHeight="1" x14ac:dyDescent="0.25">
      <c r="A308" s="182" t="s">
        <v>459</v>
      </c>
      <c r="B308" s="183" t="s">
        <v>125</v>
      </c>
      <c r="C308" s="183" t="s">
        <v>147</v>
      </c>
      <c r="D308" s="183" t="s">
        <v>148</v>
      </c>
      <c r="E308" s="183" t="s">
        <v>220</v>
      </c>
      <c r="F308" s="183" t="s">
        <v>281</v>
      </c>
      <c r="G308" s="183" t="s">
        <v>134</v>
      </c>
    </row>
    <row r="309" spans="1:7" ht="15.75" customHeight="1" x14ac:dyDescent="0.25">
      <c r="A309" s="184" t="s">
        <v>460</v>
      </c>
      <c r="B309" s="185" t="s">
        <v>125</v>
      </c>
      <c r="C309" s="185" t="s">
        <v>147</v>
      </c>
      <c r="D309" s="185" t="s">
        <v>148</v>
      </c>
      <c r="E309" s="185" t="s">
        <v>220</v>
      </c>
      <c r="F309" s="185" t="s">
        <v>281</v>
      </c>
      <c r="G309" s="185" t="s">
        <v>134</v>
      </c>
    </row>
    <row r="310" spans="1:7" ht="15.75" customHeight="1" x14ac:dyDescent="0.25">
      <c r="A310" s="189" t="s">
        <v>146</v>
      </c>
      <c r="B310" s="167" t="s">
        <v>125</v>
      </c>
      <c r="C310" s="190" t="s">
        <v>147</v>
      </c>
      <c r="D310" s="190" t="s">
        <v>148</v>
      </c>
      <c r="E310" s="190" t="s">
        <v>220</v>
      </c>
      <c r="F310" s="190" t="s">
        <v>281</v>
      </c>
      <c r="G310" s="190" t="s">
        <v>134</v>
      </c>
    </row>
    <row r="311" spans="1:7" ht="15.75" customHeight="1" x14ac:dyDescent="0.25">
      <c r="A311" s="189" t="s">
        <v>150</v>
      </c>
      <c r="B311" s="167" t="s">
        <v>125</v>
      </c>
      <c r="C311" s="190" t="s">
        <v>147</v>
      </c>
      <c r="D311" s="190" t="s">
        <v>148</v>
      </c>
      <c r="E311" s="190" t="s">
        <v>220</v>
      </c>
      <c r="F311" s="190" t="s">
        <v>281</v>
      </c>
      <c r="G311" s="190" t="s">
        <v>134</v>
      </c>
    </row>
    <row r="312" spans="1:7" ht="15.75" customHeight="1" x14ac:dyDescent="0.25">
      <c r="A312" s="189" t="s">
        <v>151</v>
      </c>
      <c r="B312" s="167" t="s">
        <v>125</v>
      </c>
      <c r="C312" s="190" t="s">
        <v>147</v>
      </c>
      <c r="D312" s="190" t="s">
        <v>148</v>
      </c>
      <c r="E312" s="190" t="s">
        <v>220</v>
      </c>
      <c r="F312" s="190" t="s">
        <v>281</v>
      </c>
      <c r="G312" s="190" t="s">
        <v>134</v>
      </c>
    </row>
    <row r="313" spans="1:7" ht="15.75" customHeight="1" x14ac:dyDescent="0.25">
      <c r="A313" s="189" t="s">
        <v>152</v>
      </c>
      <c r="B313" s="167" t="s">
        <v>125</v>
      </c>
      <c r="C313" s="190" t="s">
        <v>147</v>
      </c>
      <c r="D313" s="190" t="s">
        <v>148</v>
      </c>
      <c r="E313" s="190" t="s">
        <v>220</v>
      </c>
      <c r="F313" s="190" t="s">
        <v>281</v>
      </c>
      <c r="G313" s="190" t="s">
        <v>134</v>
      </c>
    </row>
    <row r="314" spans="1:7" ht="15.75" customHeight="1" x14ac:dyDescent="0.25">
      <c r="A314" s="189" t="s">
        <v>153</v>
      </c>
      <c r="B314" s="167" t="s">
        <v>125</v>
      </c>
      <c r="C314" s="190" t="s">
        <v>147</v>
      </c>
      <c r="D314" s="190" t="s">
        <v>148</v>
      </c>
      <c r="E314" s="190" t="s">
        <v>220</v>
      </c>
      <c r="F314" s="190" t="s">
        <v>281</v>
      </c>
      <c r="G314" s="190" t="s">
        <v>134</v>
      </c>
    </row>
    <row r="315" spans="1:7" ht="15.75" customHeight="1" x14ac:dyDescent="0.25">
      <c r="A315" s="189" t="s">
        <v>154</v>
      </c>
      <c r="B315" s="167" t="s">
        <v>125</v>
      </c>
      <c r="C315" s="190" t="s">
        <v>147</v>
      </c>
      <c r="D315" s="190" t="s">
        <v>148</v>
      </c>
      <c r="E315" s="190" t="s">
        <v>220</v>
      </c>
      <c r="F315" s="190" t="s">
        <v>281</v>
      </c>
      <c r="G315" s="190" t="s">
        <v>134</v>
      </c>
    </row>
    <row r="316" spans="1:7" ht="15.75" customHeight="1" x14ac:dyDescent="0.25">
      <c r="A316" s="189" t="s">
        <v>155</v>
      </c>
      <c r="B316" s="167" t="s">
        <v>125</v>
      </c>
      <c r="C316" s="190" t="s">
        <v>147</v>
      </c>
      <c r="D316" s="190" t="s">
        <v>148</v>
      </c>
      <c r="E316" s="190" t="s">
        <v>220</v>
      </c>
      <c r="F316" s="190" t="s">
        <v>281</v>
      </c>
      <c r="G316" s="190" t="s">
        <v>134</v>
      </c>
    </row>
    <row r="317" spans="1:7" ht="15.75" customHeight="1" x14ac:dyDescent="0.25">
      <c r="A317" s="189" t="s">
        <v>156</v>
      </c>
      <c r="B317" s="167" t="s">
        <v>125</v>
      </c>
      <c r="C317" s="190" t="s">
        <v>147</v>
      </c>
      <c r="D317" s="190" t="s">
        <v>148</v>
      </c>
      <c r="E317" s="190" t="s">
        <v>220</v>
      </c>
      <c r="F317" s="190" t="s">
        <v>281</v>
      </c>
      <c r="G317" s="190" t="s">
        <v>134</v>
      </c>
    </row>
    <row r="318" spans="1:7" ht="15.75" customHeight="1" x14ac:dyDescent="0.25">
      <c r="A318" s="189" t="s">
        <v>157</v>
      </c>
      <c r="B318" s="167" t="s">
        <v>125</v>
      </c>
      <c r="C318" s="190" t="s">
        <v>147</v>
      </c>
      <c r="D318" s="190" t="s">
        <v>148</v>
      </c>
      <c r="E318" s="190" t="s">
        <v>220</v>
      </c>
      <c r="F318" s="190" t="s">
        <v>281</v>
      </c>
      <c r="G318" s="190" t="s">
        <v>134</v>
      </c>
    </row>
    <row r="319" spans="1:7" ht="15.75" customHeight="1" x14ac:dyDescent="0.25">
      <c r="A319" s="189" t="s">
        <v>158</v>
      </c>
      <c r="B319" s="167" t="s">
        <v>125</v>
      </c>
      <c r="C319" s="190" t="s">
        <v>147</v>
      </c>
      <c r="D319" s="190" t="s">
        <v>148</v>
      </c>
      <c r="E319" s="190" t="s">
        <v>220</v>
      </c>
      <c r="F319" s="190" t="s">
        <v>281</v>
      </c>
      <c r="G319" s="190" t="s">
        <v>134</v>
      </c>
    </row>
    <row r="320" spans="1:7" ht="15.75" customHeight="1" x14ac:dyDescent="0.25">
      <c r="A320" s="189" t="s">
        <v>159</v>
      </c>
      <c r="B320" s="167" t="s">
        <v>125</v>
      </c>
      <c r="C320" s="190" t="s">
        <v>147</v>
      </c>
      <c r="D320" s="190" t="s">
        <v>148</v>
      </c>
      <c r="E320" s="190" t="s">
        <v>220</v>
      </c>
      <c r="F320" s="190" t="s">
        <v>281</v>
      </c>
      <c r="G320" s="190" t="s">
        <v>134</v>
      </c>
    </row>
    <row r="321" spans="1:7" ht="15.75" customHeight="1" x14ac:dyDescent="0.25">
      <c r="A321" s="189" t="s">
        <v>160</v>
      </c>
      <c r="B321" s="167" t="s">
        <v>125</v>
      </c>
      <c r="C321" s="190" t="s">
        <v>147</v>
      </c>
      <c r="D321" s="190" t="s">
        <v>148</v>
      </c>
      <c r="E321" s="190" t="s">
        <v>220</v>
      </c>
      <c r="F321" s="190" t="s">
        <v>281</v>
      </c>
      <c r="G321" s="190" t="s">
        <v>134</v>
      </c>
    </row>
    <row r="322" spans="1:7" ht="15.75" customHeight="1" x14ac:dyDescent="0.25">
      <c r="A322" s="189" t="s">
        <v>161</v>
      </c>
      <c r="B322" s="167" t="s">
        <v>125</v>
      </c>
      <c r="C322" s="190" t="s">
        <v>147</v>
      </c>
      <c r="D322" s="190" t="s">
        <v>148</v>
      </c>
      <c r="E322" s="190" t="s">
        <v>220</v>
      </c>
      <c r="F322" s="190" t="s">
        <v>281</v>
      </c>
      <c r="G322" s="190" t="s">
        <v>134</v>
      </c>
    </row>
    <row r="323" spans="1:7" ht="15.75" customHeight="1" x14ac:dyDescent="0.25">
      <c r="A323" s="189" t="s">
        <v>162</v>
      </c>
      <c r="B323" s="167" t="s">
        <v>125</v>
      </c>
      <c r="C323" s="190" t="s">
        <v>147</v>
      </c>
      <c r="D323" s="190" t="s">
        <v>148</v>
      </c>
      <c r="E323" s="190" t="s">
        <v>220</v>
      </c>
      <c r="F323" s="190" t="s">
        <v>281</v>
      </c>
      <c r="G323" s="190" t="s">
        <v>134</v>
      </c>
    </row>
    <row r="324" spans="1:7" ht="15.75" customHeight="1" x14ac:dyDescent="0.25">
      <c r="A324" s="189" t="s">
        <v>163</v>
      </c>
      <c r="B324" s="167" t="s">
        <v>125</v>
      </c>
      <c r="C324" s="190" t="s">
        <v>147</v>
      </c>
      <c r="D324" s="190" t="s">
        <v>148</v>
      </c>
      <c r="E324" s="190" t="s">
        <v>220</v>
      </c>
      <c r="F324" s="190" t="s">
        <v>281</v>
      </c>
      <c r="G324" s="190" t="s">
        <v>134</v>
      </c>
    </row>
    <row r="325" spans="1:7" ht="15.75" customHeight="1" x14ac:dyDescent="0.25">
      <c r="A325" s="189" t="s">
        <v>165</v>
      </c>
      <c r="B325" s="167" t="s">
        <v>125</v>
      </c>
      <c r="C325" s="190" t="s">
        <v>147</v>
      </c>
      <c r="D325" s="190" t="s">
        <v>148</v>
      </c>
      <c r="E325" s="190" t="s">
        <v>220</v>
      </c>
      <c r="F325" s="190" t="s">
        <v>281</v>
      </c>
      <c r="G325" s="190" t="s">
        <v>134</v>
      </c>
    </row>
    <row r="326" spans="1:7" ht="15.75" customHeight="1" x14ac:dyDescent="0.25">
      <c r="A326" s="189" t="s">
        <v>166</v>
      </c>
      <c r="B326" s="167" t="s">
        <v>125</v>
      </c>
      <c r="C326" s="190" t="s">
        <v>147</v>
      </c>
      <c r="D326" s="190" t="s">
        <v>148</v>
      </c>
      <c r="E326" s="190" t="s">
        <v>220</v>
      </c>
      <c r="F326" s="190" t="s">
        <v>281</v>
      </c>
      <c r="G326" s="190" t="s">
        <v>134</v>
      </c>
    </row>
    <row r="327" spans="1:7" ht="15.75" customHeight="1" x14ac:dyDescent="0.25">
      <c r="A327" s="189" t="s">
        <v>167</v>
      </c>
      <c r="B327" s="167" t="s">
        <v>125</v>
      </c>
      <c r="C327" s="190" t="s">
        <v>147</v>
      </c>
      <c r="D327" s="190" t="s">
        <v>148</v>
      </c>
      <c r="E327" s="190" t="s">
        <v>220</v>
      </c>
      <c r="F327" s="190" t="s">
        <v>281</v>
      </c>
      <c r="G327" s="190" t="s">
        <v>134</v>
      </c>
    </row>
    <row r="328" spans="1:7" ht="15.75" customHeight="1" x14ac:dyDescent="0.25">
      <c r="A328" s="189" t="s">
        <v>168</v>
      </c>
      <c r="B328" s="167" t="s">
        <v>125</v>
      </c>
      <c r="C328" s="190" t="s">
        <v>147</v>
      </c>
      <c r="D328" s="190" t="s">
        <v>148</v>
      </c>
      <c r="E328" s="190" t="s">
        <v>220</v>
      </c>
      <c r="F328" s="190" t="s">
        <v>281</v>
      </c>
      <c r="G328" s="190" t="s">
        <v>134</v>
      </c>
    </row>
    <row r="329" spans="1:7" ht="15.75" customHeight="1" x14ac:dyDescent="0.25">
      <c r="A329" s="189" t="s">
        <v>169</v>
      </c>
      <c r="B329" s="167" t="s">
        <v>125</v>
      </c>
      <c r="C329" s="190" t="s">
        <v>147</v>
      </c>
      <c r="D329" s="190" t="s">
        <v>148</v>
      </c>
      <c r="E329" s="190" t="s">
        <v>220</v>
      </c>
      <c r="F329" s="190" t="s">
        <v>281</v>
      </c>
      <c r="G329" s="190" t="s">
        <v>134</v>
      </c>
    </row>
    <row r="330" spans="1:7" ht="15.75" customHeight="1" x14ac:dyDescent="0.25">
      <c r="A330" s="189" t="s">
        <v>170</v>
      </c>
      <c r="B330" s="167" t="s">
        <v>171</v>
      </c>
      <c r="C330" s="190" t="s">
        <v>147</v>
      </c>
      <c r="D330" s="190" t="s">
        <v>172</v>
      </c>
      <c r="E330" s="190" t="s">
        <v>220</v>
      </c>
      <c r="F330" s="190" t="s">
        <v>147</v>
      </c>
      <c r="G330" s="190" t="s">
        <v>216</v>
      </c>
    </row>
    <row r="331" spans="1:7" ht="15.75" customHeight="1" x14ac:dyDescent="0.25">
      <c r="A331" s="189" t="s">
        <v>174</v>
      </c>
      <c r="B331" s="167" t="s">
        <v>171</v>
      </c>
      <c r="C331" s="190" t="s">
        <v>147</v>
      </c>
      <c r="D331" s="190" t="s">
        <v>172</v>
      </c>
      <c r="E331" s="190" t="s">
        <v>220</v>
      </c>
      <c r="F331" s="190" t="s">
        <v>147</v>
      </c>
      <c r="G331" s="190" t="s">
        <v>216</v>
      </c>
    </row>
    <row r="332" spans="1:7" ht="15.75" customHeight="1" x14ac:dyDescent="0.25">
      <c r="A332" s="189" t="s">
        <v>175</v>
      </c>
      <c r="B332" s="167" t="s">
        <v>171</v>
      </c>
      <c r="C332" s="190" t="s">
        <v>147</v>
      </c>
      <c r="D332" s="190" t="s">
        <v>172</v>
      </c>
      <c r="E332" s="190" t="s">
        <v>220</v>
      </c>
      <c r="F332" s="190" t="s">
        <v>147</v>
      </c>
      <c r="G332" s="190" t="s">
        <v>216</v>
      </c>
    </row>
    <row r="333" spans="1:7" ht="15.75" customHeight="1" x14ac:dyDescent="0.25">
      <c r="A333" s="189" t="s">
        <v>176</v>
      </c>
      <c r="B333" s="167" t="s">
        <v>171</v>
      </c>
      <c r="C333" s="190" t="s">
        <v>147</v>
      </c>
      <c r="D333" s="190" t="s">
        <v>172</v>
      </c>
      <c r="E333" s="190" t="s">
        <v>220</v>
      </c>
      <c r="F333" s="190" t="s">
        <v>147</v>
      </c>
      <c r="G333" s="190" t="s">
        <v>216</v>
      </c>
    </row>
    <row r="334" spans="1:7" ht="15.75" customHeight="1" x14ac:dyDescent="0.25">
      <c r="A334" s="189" t="s">
        <v>177</v>
      </c>
      <c r="B334" s="167" t="s">
        <v>128</v>
      </c>
      <c r="C334" s="190" t="s">
        <v>147</v>
      </c>
      <c r="D334" s="190" t="s">
        <v>134</v>
      </c>
      <c r="E334" s="190" t="s">
        <v>220</v>
      </c>
      <c r="F334" s="190" t="s">
        <v>147</v>
      </c>
      <c r="G334" s="190" t="s">
        <v>216</v>
      </c>
    </row>
    <row r="335" spans="1:7" ht="15.75" customHeight="1" x14ac:dyDescent="0.25">
      <c r="A335" s="189" t="s">
        <v>178</v>
      </c>
      <c r="B335" s="167" t="s">
        <v>128</v>
      </c>
      <c r="C335" s="190" t="s">
        <v>147</v>
      </c>
      <c r="D335" s="190" t="s">
        <v>134</v>
      </c>
      <c r="E335" s="190" t="s">
        <v>220</v>
      </c>
      <c r="F335" s="190" t="s">
        <v>147</v>
      </c>
      <c r="G335" s="190" t="s">
        <v>216</v>
      </c>
    </row>
    <row r="336" spans="1:7" ht="15.75" customHeight="1" x14ac:dyDescent="0.25">
      <c r="A336" s="189" t="s">
        <v>179</v>
      </c>
      <c r="B336" s="167" t="s">
        <v>128</v>
      </c>
      <c r="C336" s="190" t="s">
        <v>147</v>
      </c>
      <c r="D336" s="190" t="s">
        <v>134</v>
      </c>
      <c r="E336" s="190" t="s">
        <v>220</v>
      </c>
      <c r="F336" s="190" t="s">
        <v>147</v>
      </c>
      <c r="G336" s="190" t="s">
        <v>216</v>
      </c>
    </row>
    <row r="337" spans="1:8" ht="15.75" customHeight="1" x14ac:dyDescent="0.25">
      <c r="A337" s="189" t="s">
        <v>180</v>
      </c>
      <c r="B337" s="167" t="s">
        <v>128</v>
      </c>
      <c r="C337" s="190" t="s">
        <v>147</v>
      </c>
      <c r="D337" s="190" t="s">
        <v>134</v>
      </c>
      <c r="E337" s="190" t="s">
        <v>220</v>
      </c>
      <c r="F337" s="190" t="s">
        <v>147</v>
      </c>
      <c r="G337" s="190" t="s">
        <v>216</v>
      </c>
    </row>
    <row r="338" spans="1:8" ht="15.75" customHeight="1" x14ac:dyDescent="0.25">
      <c r="A338" s="189" t="s">
        <v>181</v>
      </c>
      <c r="B338" s="167" t="s">
        <v>128</v>
      </c>
      <c r="C338" s="190" t="s">
        <v>147</v>
      </c>
      <c r="D338" s="190" t="s">
        <v>134</v>
      </c>
      <c r="E338" s="190" t="s">
        <v>220</v>
      </c>
      <c r="F338" s="190" t="s">
        <v>147</v>
      </c>
      <c r="G338" s="190" t="s">
        <v>216</v>
      </c>
    </row>
    <row r="340" spans="1:8" ht="15" customHeight="1" x14ac:dyDescent="0.25">
      <c r="A340" s="344" t="s">
        <v>461</v>
      </c>
      <c r="B340" s="341"/>
      <c r="C340" s="341"/>
      <c r="D340" s="341"/>
      <c r="E340" s="341"/>
      <c r="F340" s="341"/>
      <c r="G340" s="341"/>
      <c r="H340" s="341"/>
    </row>
  </sheetData>
  <mergeCells count="12">
    <mergeCell ref="A1:H1"/>
    <mergeCell ref="C7:H7"/>
    <mergeCell ref="C9:H9"/>
    <mergeCell ref="C8:H8"/>
    <mergeCell ref="A11:H11"/>
    <mergeCell ref="A44:H44"/>
    <mergeCell ref="A340:H340"/>
    <mergeCell ref="A4:H4"/>
    <mergeCell ref="C6:H6"/>
    <mergeCell ref="A3:H3"/>
    <mergeCell ref="C5:H5"/>
    <mergeCell ref="A2:H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51"/>
  <sheetViews>
    <sheetView showGridLines="0" zoomScaleNormal="100" workbookViewId="0">
      <selection sqref="A1:K1"/>
    </sheetView>
  </sheetViews>
  <sheetFormatPr defaultColWidth="8.7109375" defaultRowHeight="15" x14ac:dyDescent="0.25"/>
  <cols>
    <col min="1" max="1" width="14" customWidth="1"/>
    <col min="2" max="10" width="17" customWidth="1"/>
  </cols>
  <sheetData>
    <row r="1" spans="1:11" ht="37.5" customHeight="1" x14ac:dyDescent="0.25">
      <c r="A1" s="340" t="s">
        <v>462</v>
      </c>
      <c r="B1" s="341"/>
      <c r="C1" s="341"/>
      <c r="D1" s="341"/>
      <c r="E1" s="341"/>
      <c r="F1" s="341"/>
      <c r="G1" s="341"/>
      <c r="H1" s="341"/>
      <c r="I1" s="341"/>
      <c r="J1" s="341"/>
      <c r="K1" s="341"/>
    </row>
    <row r="2" spans="1:11" ht="19.5" customHeight="1" x14ac:dyDescent="0.25">
      <c r="A2" s="342" t="s">
        <v>463</v>
      </c>
      <c r="B2" s="341"/>
      <c r="C2" s="341"/>
      <c r="D2" s="341"/>
      <c r="E2" s="341"/>
      <c r="F2" s="341"/>
      <c r="G2" s="341"/>
      <c r="H2" s="341"/>
      <c r="I2" s="341"/>
      <c r="J2" s="341"/>
      <c r="K2" s="341"/>
    </row>
    <row r="3" spans="1:11" ht="9.75" customHeight="1" x14ac:dyDescent="0.25">
      <c r="A3" s="343"/>
      <c r="B3" s="341"/>
      <c r="C3" s="341"/>
      <c r="D3" s="341"/>
      <c r="E3" s="341"/>
      <c r="F3" s="341"/>
      <c r="G3" s="341"/>
      <c r="H3" s="341"/>
      <c r="I3" s="341"/>
      <c r="J3" s="341"/>
      <c r="K3" s="341"/>
    </row>
    <row r="4" spans="1:11" ht="24" customHeight="1" x14ac:dyDescent="0.25">
      <c r="A4" s="345" t="s">
        <v>464</v>
      </c>
      <c r="B4" s="341"/>
      <c r="C4" s="341"/>
      <c r="D4" s="341"/>
      <c r="E4" s="341"/>
      <c r="F4" s="341"/>
      <c r="G4" s="341"/>
      <c r="H4" s="341"/>
      <c r="I4" s="341"/>
      <c r="J4" s="341"/>
      <c r="K4" s="341"/>
    </row>
    <row r="5" spans="1:11" ht="27.75" customHeight="1" x14ac:dyDescent="0.25">
      <c r="A5" s="2" t="s">
        <v>26</v>
      </c>
      <c r="B5" s="2" t="s">
        <v>27</v>
      </c>
      <c r="C5" s="2" t="s">
        <v>465</v>
      </c>
      <c r="D5" s="2" t="s">
        <v>466</v>
      </c>
      <c r="E5" s="2" t="s">
        <v>467</v>
      </c>
      <c r="F5" s="2" t="s">
        <v>468</v>
      </c>
      <c r="G5" s="2" t="s">
        <v>469</v>
      </c>
      <c r="H5" s="2" t="s">
        <v>470</v>
      </c>
      <c r="I5" s="2" t="s">
        <v>471</v>
      </c>
    </row>
    <row r="6" spans="1:11" ht="21.75" customHeight="1" x14ac:dyDescent="0.25">
      <c r="A6" s="191" t="s">
        <v>47</v>
      </c>
      <c r="B6" s="192" t="s">
        <v>48</v>
      </c>
      <c r="C6" s="193" t="s">
        <v>14</v>
      </c>
      <c r="D6" s="194">
        <v>460000000000</v>
      </c>
      <c r="E6" s="195">
        <v>460</v>
      </c>
      <c r="F6" s="196">
        <v>0.61855693121950095</v>
      </c>
      <c r="G6" s="197">
        <v>400</v>
      </c>
      <c r="H6" s="197">
        <v>460</v>
      </c>
      <c r="I6" s="196">
        <v>2.2222222222222199E-2</v>
      </c>
    </row>
    <row r="7" spans="1:11" ht="21.75" customHeight="1" x14ac:dyDescent="0.25">
      <c r="A7" s="198" t="s">
        <v>39</v>
      </c>
      <c r="B7" s="67" t="s">
        <v>40</v>
      </c>
      <c r="C7" s="199" t="s">
        <v>14</v>
      </c>
      <c r="D7" s="200">
        <v>206360000000</v>
      </c>
      <c r="E7" s="201">
        <v>206.36</v>
      </c>
      <c r="F7" s="202">
        <v>0.277490018100992</v>
      </c>
      <c r="G7" s="203">
        <v>201.93799999999999</v>
      </c>
      <c r="H7" s="203">
        <v>213.73</v>
      </c>
      <c r="I7" s="204">
        <v>0</v>
      </c>
    </row>
    <row r="8" spans="1:11" ht="21.75" customHeight="1" x14ac:dyDescent="0.25">
      <c r="A8" s="205" t="s">
        <v>43</v>
      </c>
      <c r="B8" s="59" t="s">
        <v>44</v>
      </c>
      <c r="C8" s="206" t="s">
        <v>15</v>
      </c>
      <c r="D8" s="207">
        <v>64059906250</v>
      </c>
      <c r="E8" s="208">
        <v>64.059906249999997</v>
      </c>
      <c r="F8" s="209">
        <v>8.6140650052628095E-2</v>
      </c>
      <c r="G8" s="210">
        <v>59.721187499999999</v>
      </c>
      <c r="H8" s="210">
        <v>64.059906249999997</v>
      </c>
      <c r="I8" s="211">
        <v>6.8085106382978697E-2</v>
      </c>
    </row>
    <row r="9" spans="1:11" ht="21.75" customHeight="1" x14ac:dyDescent="0.25">
      <c r="A9" s="212" t="s">
        <v>33</v>
      </c>
      <c r="B9" s="67" t="s">
        <v>34</v>
      </c>
      <c r="C9" s="199" t="s">
        <v>12</v>
      </c>
      <c r="D9" s="200">
        <v>4806134970</v>
      </c>
      <c r="E9" s="201">
        <v>4.8061349699999996</v>
      </c>
      <c r="F9" s="213">
        <v>6.4627567349346297E-3</v>
      </c>
      <c r="G9" s="203">
        <v>3.631301847</v>
      </c>
      <c r="H9" s="203">
        <v>4.8061349699999996</v>
      </c>
      <c r="I9" s="202">
        <v>0.23214290136647001</v>
      </c>
    </row>
    <row r="10" spans="1:11" ht="21.75" customHeight="1" x14ac:dyDescent="0.25">
      <c r="A10" s="214" t="s">
        <v>49</v>
      </c>
      <c r="B10" s="59" t="s">
        <v>50</v>
      </c>
      <c r="C10" s="206" t="s">
        <v>15</v>
      </c>
      <c r="D10" s="207">
        <v>4460000000</v>
      </c>
      <c r="E10" s="208">
        <v>4.46</v>
      </c>
      <c r="F10" s="209">
        <v>5.9973128548673404E-3</v>
      </c>
      <c r="G10" s="210">
        <v>3.84</v>
      </c>
      <c r="H10" s="210">
        <v>4.62</v>
      </c>
      <c r="I10" s="211">
        <v>0.101234567901235</v>
      </c>
    </row>
    <row r="11" spans="1:11" ht="21.75" customHeight="1" x14ac:dyDescent="0.25">
      <c r="A11" s="215" t="s">
        <v>37</v>
      </c>
      <c r="B11" s="67" t="s">
        <v>38</v>
      </c>
      <c r="C11" s="199" t="s">
        <v>16</v>
      </c>
      <c r="D11" s="200">
        <v>2160000000</v>
      </c>
      <c r="E11" s="201">
        <v>2.16</v>
      </c>
      <c r="F11" s="213">
        <v>2.90452819876983E-3</v>
      </c>
      <c r="G11" s="203">
        <v>2.16</v>
      </c>
      <c r="H11" s="203">
        <v>2.4</v>
      </c>
      <c r="I11" s="204">
        <v>-0.1</v>
      </c>
    </row>
    <row r="12" spans="1:11" ht="21.75" customHeight="1" x14ac:dyDescent="0.25">
      <c r="A12" s="216" t="s">
        <v>60</v>
      </c>
      <c r="B12" s="59" t="s">
        <v>61</v>
      </c>
      <c r="C12" s="206" t="s">
        <v>13</v>
      </c>
      <c r="D12" s="207">
        <v>1332848700</v>
      </c>
      <c r="E12" s="208">
        <v>1.3328487</v>
      </c>
      <c r="F12" s="209">
        <v>1.79226696011283E-3</v>
      </c>
      <c r="G12" s="210">
        <v>1.3328487</v>
      </c>
      <c r="H12" s="210">
        <v>1.3420407599999999</v>
      </c>
      <c r="I12" s="217">
        <v>-6.8493150684931503E-3</v>
      </c>
    </row>
    <row r="13" spans="1:11" ht="21.75" customHeight="1" x14ac:dyDescent="0.25">
      <c r="A13" s="218" t="s">
        <v>62</v>
      </c>
      <c r="B13" s="67" t="s">
        <v>63</v>
      </c>
      <c r="C13" s="199" t="s">
        <v>17</v>
      </c>
      <c r="D13" s="200">
        <v>487500000</v>
      </c>
      <c r="E13" s="201">
        <v>0.48749999999999999</v>
      </c>
      <c r="F13" s="213">
        <v>6.5553587819458005E-4</v>
      </c>
      <c r="G13" s="203">
        <v>0.45</v>
      </c>
      <c r="H13" s="203">
        <v>0.54374999999999996</v>
      </c>
      <c r="I13" s="202">
        <v>2.6315789473684199E-2</v>
      </c>
    </row>
    <row r="14" spans="1:11" ht="21.75" customHeight="1" x14ac:dyDescent="0.25">
      <c r="A14" s="349" t="s">
        <v>472</v>
      </c>
      <c r="B14" s="341"/>
      <c r="C14" s="341"/>
      <c r="D14" s="219">
        <v>743666389920</v>
      </c>
      <c r="E14" s="220">
        <v>743.66638992000003</v>
      </c>
      <c r="F14" s="221">
        <v>1</v>
      </c>
      <c r="G14" s="222"/>
      <c r="H14" s="222"/>
      <c r="I14" s="222"/>
    </row>
    <row r="16" spans="1:11" ht="15" customHeight="1" x14ac:dyDescent="0.25">
      <c r="A16" s="350" t="s">
        <v>473</v>
      </c>
      <c r="B16" s="341"/>
      <c r="C16" s="341"/>
      <c r="D16" s="341"/>
      <c r="E16" s="341"/>
      <c r="F16" s="341"/>
      <c r="G16" s="341"/>
      <c r="H16" s="341"/>
      <c r="I16" s="341"/>
      <c r="J16" s="341"/>
      <c r="K16" s="341"/>
    </row>
    <row r="19" spans="1:11" ht="24" customHeight="1" x14ac:dyDescent="0.25">
      <c r="A19" s="345" t="s">
        <v>474</v>
      </c>
      <c r="B19" s="341"/>
      <c r="C19" s="341"/>
      <c r="D19" s="341"/>
      <c r="E19" s="341"/>
      <c r="F19" s="341"/>
      <c r="G19" s="341"/>
      <c r="H19" s="341"/>
      <c r="I19" s="341"/>
      <c r="J19" s="341"/>
      <c r="K19" s="341"/>
    </row>
    <row r="20" spans="1:11" ht="30" customHeight="1" x14ac:dyDescent="0.25">
      <c r="A20" s="1" t="s">
        <v>2</v>
      </c>
      <c r="B20" s="2" t="s">
        <v>3</v>
      </c>
      <c r="C20" s="2" t="s">
        <v>4</v>
      </c>
      <c r="D20" s="2" t="s">
        <v>5</v>
      </c>
      <c r="E20" s="2" t="s">
        <v>6</v>
      </c>
      <c r="F20" s="2" t="s">
        <v>7</v>
      </c>
      <c r="G20" s="2" t="s">
        <v>8</v>
      </c>
      <c r="H20" s="2" t="s">
        <v>9</v>
      </c>
      <c r="I20" s="2" t="s">
        <v>10</v>
      </c>
      <c r="J20" s="1" t="s">
        <v>472</v>
      </c>
    </row>
    <row r="21" spans="1:11" ht="15.75" customHeight="1" x14ac:dyDescent="0.25">
      <c r="A21" s="223">
        <v>45659</v>
      </c>
      <c r="B21" s="224">
        <v>3.9006311400000002</v>
      </c>
      <c r="C21" s="224">
        <v>1.3420407599999999</v>
      </c>
      <c r="D21" s="225" t="s">
        <v>18</v>
      </c>
      <c r="E21" s="224">
        <v>59.976406249999997</v>
      </c>
      <c r="F21" s="224">
        <v>450</v>
      </c>
      <c r="G21" s="224">
        <v>2.4</v>
      </c>
      <c r="H21" s="225" t="s">
        <v>18</v>
      </c>
      <c r="I21" s="224">
        <v>4.05</v>
      </c>
      <c r="J21" s="226">
        <v>521.66907815000002</v>
      </c>
    </row>
    <row r="22" spans="1:11" ht="15.75" customHeight="1" x14ac:dyDescent="0.25">
      <c r="A22" s="227">
        <v>45662</v>
      </c>
      <c r="B22" s="228">
        <v>3.9006311400000002</v>
      </c>
      <c r="C22" s="228">
        <v>1.3420407599999999</v>
      </c>
      <c r="D22" s="229" t="s">
        <v>18</v>
      </c>
      <c r="E22" s="228">
        <v>59.976406249999997</v>
      </c>
      <c r="F22" s="228">
        <v>450</v>
      </c>
      <c r="G22" s="228">
        <v>2.4</v>
      </c>
      <c r="H22" s="229" t="s">
        <v>18</v>
      </c>
      <c r="I22" s="228">
        <v>4.05</v>
      </c>
      <c r="J22" s="230">
        <v>521.66907815000002</v>
      </c>
    </row>
    <row r="23" spans="1:11" ht="15.75" customHeight="1" x14ac:dyDescent="0.25">
      <c r="A23" s="223">
        <v>45664</v>
      </c>
      <c r="B23" s="224">
        <v>3.9006311400000002</v>
      </c>
      <c r="C23" s="224">
        <v>1.3420407599999999</v>
      </c>
      <c r="D23" s="225" t="s">
        <v>18</v>
      </c>
      <c r="E23" s="224">
        <v>59.976406249999997</v>
      </c>
      <c r="F23" s="224">
        <v>447</v>
      </c>
      <c r="G23" s="224">
        <v>2.4</v>
      </c>
      <c r="H23" s="225" t="s">
        <v>18</v>
      </c>
      <c r="I23" s="224">
        <v>4.05</v>
      </c>
      <c r="J23" s="226">
        <v>518.66907815000002</v>
      </c>
    </row>
    <row r="24" spans="1:11" ht="15.75" customHeight="1" x14ac:dyDescent="0.25">
      <c r="A24" s="227">
        <v>45666</v>
      </c>
      <c r="B24" s="228">
        <v>3.9006311400000002</v>
      </c>
      <c r="C24" s="228">
        <v>1.3420407599999999</v>
      </c>
      <c r="D24" s="229" t="s">
        <v>18</v>
      </c>
      <c r="E24" s="228">
        <v>59.976406249999997</v>
      </c>
      <c r="F24" s="228">
        <v>454</v>
      </c>
      <c r="G24" s="228">
        <v>2.4</v>
      </c>
      <c r="H24" s="229" t="s">
        <v>18</v>
      </c>
      <c r="I24" s="228">
        <v>4.05</v>
      </c>
      <c r="J24" s="230">
        <v>525.66907815000002</v>
      </c>
    </row>
    <row r="25" spans="1:11" ht="15.75" customHeight="1" x14ac:dyDescent="0.25">
      <c r="A25" s="223">
        <v>45670</v>
      </c>
      <c r="B25" s="224">
        <v>3.9006311400000002</v>
      </c>
      <c r="C25" s="224">
        <v>1.3420407599999999</v>
      </c>
      <c r="D25" s="225" t="s">
        <v>18</v>
      </c>
      <c r="E25" s="224">
        <v>59.976406249999997</v>
      </c>
      <c r="F25" s="224">
        <v>452.8</v>
      </c>
      <c r="G25" s="224">
        <v>2.4</v>
      </c>
      <c r="H25" s="225" t="s">
        <v>18</v>
      </c>
      <c r="I25" s="224">
        <v>4.05</v>
      </c>
      <c r="J25" s="226">
        <v>524.46907814999997</v>
      </c>
    </row>
    <row r="26" spans="1:11" ht="15.75" customHeight="1" x14ac:dyDescent="0.25">
      <c r="A26" s="227">
        <v>45671</v>
      </c>
      <c r="B26" s="228">
        <v>3.9006311400000002</v>
      </c>
      <c r="C26" s="228">
        <v>1.3420407599999999</v>
      </c>
      <c r="D26" s="229" t="s">
        <v>18</v>
      </c>
      <c r="E26" s="228">
        <v>59.976406249999997</v>
      </c>
      <c r="F26" s="228">
        <v>454.6</v>
      </c>
      <c r="G26" s="228">
        <v>2.4</v>
      </c>
      <c r="H26" s="228">
        <v>0.47499999999999998</v>
      </c>
      <c r="I26" s="228">
        <v>4.05</v>
      </c>
      <c r="J26" s="230">
        <v>526.74407814999995</v>
      </c>
    </row>
    <row r="27" spans="1:11" ht="15.75" customHeight="1" x14ac:dyDescent="0.25">
      <c r="A27" s="223">
        <v>45673</v>
      </c>
      <c r="B27" s="224">
        <v>3.9006311400000002</v>
      </c>
      <c r="C27" s="224">
        <v>1.3420407599999999</v>
      </c>
      <c r="D27" s="225" t="s">
        <v>18</v>
      </c>
      <c r="E27" s="224">
        <v>59.976406249999997</v>
      </c>
      <c r="F27" s="224">
        <v>456</v>
      </c>
      <c r="G27" s="224">
        <v>2.4</v>
      </c>
      <c r="H27" s="224">
        <v>0.47499999999999998</v>
      </c>
      <c r="I27" s="224">
        <v>4.05</v>
      </c>
      <c r="J27" s="226">
        <v>528.14407815000004</v>
      </c>
    </row>
    <row r="28" spans="1:11" ht="15.75" customHeight="1" x14ac:dyDescent="0.25">
      <c r="A28" s="227">
        <v>45676</v>
      </c>
      <c r="B28" s="228">
        <v>3.9006311400000002</v>
      </c>
      <c r="C28" s="228">
        <v>1.3420407599999999</v>
      </c>
      <c r="D28" s="229" t="s">
        <v>18</v>
      </c>
      <c r="E28" s="228">
        <v>59.976406249999997</v>
      </c>
      <c r="F28" s="228">
        <v>456</v>
      </c>
      <c r="G28" s="228">
        <v>2.4</v>
      </c>
      <c r="H28" s="228">
        <v>0.47499999999999998</v>
      </c>
      <c r="I28" s="228">
        <v>4.05</v>
      </c>
      <c r="J28" s="230">
        <v>528.14407815000004</v>
      </c>
    </row>
    <row r="29" spans="1:11" ht="15.75" customHeight="1" x14ac:dyDescent="0.25">
      <c r="A29" s="223">
        <v>45678</v>
      </c>
      <c r="B29" s="224">
        <v>3.9006311400000002</v>
      </c>
      <c r="C29" s="224">
        <v>1.3420407599999999</v>
      </c>
      <c r="D29" s="225" t="s">
        <v>18</v>
      </c>
      <c r="E29" s="224">
        <v>60.486843749999998</v>
      </c>
      <c r="F29" s="224">
        <v>456</v>
      </c>
      <c r="G29" s="224">
        <v>2.4</v>
      </c>
      <c r="H29" s="224">
        <v>0.47499999999999998</v>
      </c>
      <c r="I29" s="224">
        <v>4.05</v>
      </c>
      <c r="J29" s="226">
        <v>528.65451565000001</v>
      </c>
    </row>
    <row r="30" spans="1:11" ht="15.75" customHeight="1" x14ac:dyDescent="0.25">
      <c r="A30" s="227">
        <v>45680</v>
      </c>
      <c r="B30" s="228">
        <v>3.9006311400000002</v>
      </c>
      <c r="C30" s="228">
        <v>1.3420407599999999</v>
      </c>
      <c r="D30" s="229" t="s">
        <v>18</v>
      </c>
      <c r="E30" s="228">
        <v>60.231625000000001</v>
      </c>
      <c r="F30" s="228">
        <v>454.6</v>
      </c>
      <c r="G30" s="228">
        <v>2.4</v>
      </c>
      <c r="H30" s="228">
        <v>0.47499999999999998</v>
      </c>
      <c r="I30" s="228">
        <v>4.05</v>
      </c>
      <c r="J30" s="230">
        <v>526.99929689999999</v>
      </c>
    </row>
    <row r="31" spans="1:11" ht="15.75" customHeight="1" x14ac:dyDescent="0.25">
      <c r="A31" s="223">
        <v>45683</v>
      </c>
      <c r="B31" s="224">
        <v>3.9006311400000002</v>
      </c>
      <c r="C31" s="224">
        <v>1.3420407599999999</v>
      </c>
      <c r="D31" s="225" t="s">
        <v>18</v>
      </c>
      <c r="E31" s="224">
        <v>60.231625000000001</v>
      </c>
      <c r="F31" s="224">
        <v>454.6</v>
      </c>
      <c r="G31" s="224">
        <v>2.4</v>
      </c>
      <c r="H31" s="224">
        <v>0.49375000000000002</v>
      </c>
      <c r="I31" s="224">
        <v>4.05</v>
      </c>
      <c r="J31" s="226">
        <v>527.01804689999994</v>
      </c>
    </row>
    <row r="32" spans="1:11" ht="15.75" customHeight="1" x14ac:dyDescent="0.25">
      <c r="A32" s="227">
        <v>45685</v>
      </c>
      <c r="B32" s="228">
        <v>3.9006311400000002</v>
      </c>
      <c r="C32" s="228">
        <v>1.3420407599999999</v>
      </c>
      <c r="D32" s="229" t="s">
        <v>18</v>
      </c>
      <c r="E32" s="228">
        <v>60.486843749999998</v>
      </c>
      <c r="F32" s="228">
        <v>454.6</v>
      </c>
      <c r="G32" s="228">
        <v>2.4</v>
      </c>
      <c r="H32" s="228">
        <v>0.49375000000000002</v>
      </c>
      <c r="I32" s="228">
        <v>4.05</v>
      </c>
      <c r="J32" s="230">
        <v>527.27326564999998</v>
      </c>
    </row>
    <row r="33" spans="1:10" ht="15.75" customHeight="1" x14ac:dyDescent="0.25">
      <c r="A33" s="223">
        <v>45687</v>
      </c>
      <c r="B33" s="224">
        <v>3.9006311400000002</v>
      </c>
      <c r="C33" s="224">
        <v>1.3420407599999999</v>
      </c>
      <c r="D33" s="225" t="s">
        <v>18</v>
      </c>
      <c r="E33" s="224">
        <v>60.486843749999998</v>
      </c>
      <c r="F33" s="224">
        <v>454.6</v>
      </c>
      <c r="G33" s="224">
        <v>2.4</v>
      </c>
      <c r="H33" s="224">
        <v>0.49375000000000002</v>
      </c>
      <c r="I33" s="224">
        <v>4.05</v>
      </c>
      <c r="J33" s="226">
        <v>527.27326564999998</v>
      </c>
    </row>
    <row r="34" spans="1:10" ht="15.75" customHeight="1" x14ac:dyDescent="0.25">
      <c r="A34" s="227">
        <v>45690</v>
      </c>
      <c r="B34" s="228">
        <v>3.9006311400000002</v>
      </c>
      <c r="C34" s="228">
        <v>1.3420407599999999</v>
      </c>
      <c r="D34" s="229" t="s">
        <v>18</v>
      </c>
      <c r="E34" s="228">
        <v>60.486843749999998</v>
      </c>
      <c r="F34" s="228">
        <v>454.2</v>
      </c>
      <c r="G34" s="228">
        <v>2.4</v>
      </c>
      <c r="H34" s="228">
        <v>0.49375000000000002</v>
      </c>
      <c r="I34" s="228">
        <v>4.05</v>
      </c>
      <c r="J34" s="230">
        <v>526.87326565000001</v>
      </c>
    </row>
    <row r="35" spans="1:10" ht="15.75" customHeight="1" x14ac:dyDescent="0.25">
      <c r="A35" s="223">
        <v>45692</v>
      </c>
      <c r="B35" s="224">
        <v>3.9006311400000002</v>
      </c>
      <c r="C35" s="224">
        <v>1.3420407599999999</v>
      </c>
      <c r="D35" s="225" t="s">
        <v>18</v>
      </c>
      <c r="E35" s="224">
        <v>60.486843749999998</v>
      </c>
      <c r="F35" s="224">
        <v>454</v>
      </c>
      <c r="G35" s="224">
        <v>2.4</v>
      </c>
      <c r="H35" s="224">
        <v>0.49375000000000002</v>
      </c>
      <c r="I35" s="224">
        <v>4.05</v>
      </c>
      <c r="J35" s="226">
        <v>526.67326564999996</v>
      </c>
    </row>
    <row r="36" spans="1:10" ht="15.75" customHeight="1" x14ac:dyDescent="0.25">
      <c r="A36" s="227">
        <v>45694</v>
      </c>
      <c r="B36" s="228">
        <v>3.9006311400000002</v>
      </c>
      <c r="C36" s="228">
        <v>1.3420407599999999</v>
      </c>
      <c r="D36" s="229" t="s">
        <v>18</v>
      </c>
      <c r="E36" s="228">
        <v>60.99728125</v>
      </c>
      <c r="F36" s="228">
        <v>454</v>
      </c>
      <c r="G36" s="228">
        <v>2.4</v>
      </c>
      <c r="H36" s="228">
        <v>0.49375000000000002</v>
      </c>
      <c r="I36" s="228">
        <v>4.05</v>
      </c>
      <c r="J36" s="230">
        <v>527.18370315000004</v>
      </c>
    </row>
    <row r="37" spans="1:10" ht="15.75" customHeight="1" x14ac:dyDescent="0.25">
      <c r="A37" s="223">
        <v>45697</v>
      </c>
      <c r="B37" s="224">
        <v>3.9006311400000002</v>
      </c>
      <c r="C37" s="224">
        <v>1.3420407599999999</v>
      </c>
      <c r="D37" s="225" t="s">
        <v>18</v>
      </c>
      <c r="E37" s="224">
        <v>60.99728125</v>
      </c>
      <c r="F37" s="224">
        <v>454</v>
      </c>
      <c r="G37" s="224">
        <v>2.4</v>
      </c>
      <c r="H37" s="224">
        <v>0.49375000000000002</v>
      </c>
      <c r="I37" s="224">
        <v>4.05</v>
      </c>
      <c r="J37" s="226">
        <v>527.18370315000004</v>
      </c>
    </row>
    <row r="38" spans="1:10" ht="15.75" customHeight="1" x14ac:dyDescent="0.25">
      <c r="A38" s="227">
        <v>45699</v>
      </c>
      <c r="B38" s="228">
        <v>3.9006311400000002</v>
      </c>
      <c r="C38" s="228">
        <v>1.3420407599999999</v>
      </c>
      <c r="D38" s="229" t="s">
        <v>18</v>
      </c>
      <c r="E38" s="228">
        <v>60.99728125</v>
      </c>
      <c r="F38" s="228">
        <v>454</v>
      </c>
      <c r="G38" s="228">
        <v>2.4</v>
      </c>
      <c r="H38" s="228">
        <v>0.5</v>
      </c>
      <c r="I38" s="228">
        <v>4.05</v>
      </c>
      <c r="J38" s="230">
        <v>527.18995314999995</v>
      </c>
    </row>
    <row r="39" spans="1:10" ht="15.75" customHeight="1" x14ac:dyDescent="0.25">
      <c r="A39" s="223">
        <v>45701</v>
      </c>
      <c r="B39" s="224">
        <v>3.9006311400000002</v>
      </c>
      <c r="C39" s="224">
        <v>1.3420407599999999</v>
      </c>
      <c r="D39" s="225" t="s">
        <v>18</v>
      </c>
      <c r="E39" s="224">
        <v>60.99728125</v>
      </c>
      <c r="F39" s="224">
        <v>454</v>
      </c>
      <c r="G39" s="224">
        <v>2.4</v>
      </c>
      <c r="H39" s="224">
        <v>0.49375000000000002</v>
      </c>
      <c r="I39" s="224">
        <v>4.05</v>
      </c>
      <c r="J39" s="226">
        <v>527.18370315000004</v>
      </c>
    </row>
    <row r="40" spans="1:10" ht="15.75" customHeight="1" x14ac:dyDescent="0.25">
      <c r="A40" s="227">
        <v>45704</v>
      </c>
      <c r="B40" s="228">
        <v>3.7148867999999999</v>
      </c>
      <c r="C40" s="228">
        <v>1.3420407599999999</v>
      </c>
      <c r="D40" s="229" t="s">
        <v>18</v>
      </c>
      <c r="E40" s="228">
        <v>60.99728125</v>
      </c>
      <c r="F40" s="228">
        <v>449.8</v>
      </c>
      <c r="G40" s="228">
        <v>2.4</v>
      </c>
      <c r="H40" s="228">
        <v>0.49375000000000002</v>
      </c>
      <c r="I40" s="228">
        <v>4.05</v>
      </c>
      <c r="J40" s="230">
        <v>522.79795880999995</v>
      </c>
    </row>
    <row r="41" spans="1:10" ht="15.75" customHeight="1" x14ac:dyDescent="0.25">
      <c r="A41" s="223">
        <v>45706</v>
      </c>
      <c r="B41" s="224">
        <v>3.9006311400000002</v>
      </c>
      <c r="C41" s="224">
        <v>1.3420407599999999</v>
      </c>
      <c r="D41" s="225" t="s">
        <v>18</v>
      </c>
      <c r="E41" s="224">
        <v>60.99728125</v>
      </c>
      <c r="F41" s="224">
        <v>449.8</v>
      </c>
      <c r="G41" s="224">
        <v>2.4</v>
      </c>
      <c r="H41" s="224">
        <v>0.49375000000000002</v>
      </c>
      <c r="I41" s="224">
        <v>4.04</v>
      </c>
      <c r="J41" s="226">
        <v>522.97370315000001</v>
      </c>
    </row>
    <row r="42" spans="1:10" ht="15.75" customHeight="1" x14ac:dyDescent="0.25">
      <c r="A42" s="227">
        <v>45708</v>
      </c>
      <c r="B42" s="228">
        <v>3.9006311400000002</v>
      </c>
      <c r="C42" s="228">
        <v>1.3420407599999999</v>
      </c>
      <c r="D42" s="229" t="s">
        <v>18</v>
      </c>
      <c r="E42" s="228">
        <v>61.022803125000003</v>
      </c>
      <c r="F42" s="228">
        <v>450</v>
      </c>
      <c r="G42" s="228">
        <v>2.4</v>
      </c>
      <c r="H42" s="228">
        <v>0.49375000000000002</v>
      </c>
      <c r="I42" s="228">
        <v>4.04</v>
      </c>
      <c r="J42" s="230">
        <v>523.19922502500003</v>
      </c>
    </row>
    <row r="43" spans="1:10" ht="15.75" customHeight="1" x14ac:dyDescent="0.25">
      <c r="A43" s="223">
        <v>45711</v>
      </c>
      <c r="B43" s="224">
        <v>3.9006311400000002</v>
      </c>
      <c r="C43" s="224">
        <v>1.3420407599999999</v>
      </c>
      <c r="D43" s="225" t="s">
        <v>18</v>
      </c>
      <c r="E43" s="224">
        <v>61.022803125000003</v>
      </c>
      <c r="F43" s="224">
        <v>454</v>
      </c>
      <c r="G43" s="224">
        <v>2.4</v>
      </c>
      <c r="H43" s="224">
        <v>0.49375000000000002</v>
      </c>
      <c r="I43" s="224">
        <v>4.04</v>
      </c>
      <c r="J43" s="226">
        <v>527.19922502500003</v>
      </c>
    </row>
    <row r="44" spans="1:10" ht="15.75" customHeight="1" x14ac:dyDescent="0.25">
      <c r="A44" s="227">
        <v>45713</v>
      </c>
      <c r="B44" s="228">
        <v>3.9006311400000002</v>
      </c>
      <c r="C44" s="228">
        <v>1.3420407599999999</v>
      </c>
      <c r="D44" s="229" t="s">
        <v>18</v>
      </c>
      <c r="E44" s="228">
        <v>61.124890624999999</v>
      </c>
      <c r="F44" s="228">
        <v>454</v>
      </c>
      <c r="G44" s="228">
        <v>2.4</v>
      </c>
      <c r="H44" s="228">
        <v>0.49375000000000002</v>
      </c>
      <c r="I44" s="228">
        <v>4.04</v>
      </c>
      <c r="J44" s="230">
        <v>527.30131252499996</v>
      </c>
    </row>
    <row r="45" spans="1:10" ht="15.75" customHeight="1" x14ac:dyDescent="0.25">
      <c r="A45" s="223">
        <v>45715</v>
      </c>
      <c r="B45" s="224">
        <v>3.9006311400000002</v>
      </c>
      <c r="C45" s="224">
        <v>1.3420407599999999</v>
      </c>
      <c r="D45" s="225" t="s">
        <v>18</v>
      </c>
      <c r="E45" s="224">
        <v>61.150412500000002</v>
      </c>
      <c r="F45" s="224">
        <v>451.8</v>
      </c>
      <c r="G45" s="224">
        <v>2.4</v>
      </c>
      <c r="H45" s="224">
        <v>0.49375000000000002</v>
      </c>
      <c r="I45" s="224">
        <v>4.04</v>
      </c>
      <c r="J45" s="226">
        <v>525.12683440000001</v>
      </c>
    </row>
    <row r="46" spans="1:10" ht="15.75" customHeight="1" x14ac:dyDescent="0.25">
      <c r="A46" s="227">
        <v>45718</v>
      </c>
      <c r="B46" s="228">
        <v>3.9006311400000002</v>
      </c>
      <c r="C46" s="228">
        <v>1.3420407599999999</v>
      </c>
      <c r="D46" s="229" t="s">
        <v>18</v>
      </c>
      <c r="E46" s="228">
        <v>61.150412500000002</v>
      </c>
      <c r="F46" s="228">
        <v>451.8</v>
      </c>
      <c r="G46" s="228">
        <v>2.4</v>
      </c>
      <c r="H46" s="228">
        <v>0.49375000000000002</v>
      </c>
      <c r="I46" s="228">
        <v>4.04</v>
      </c>
      <c r="J46" s="230">
        <v>525.12683440000001</v>
      </c>
    </row>
    <row r="47" spans="1:10" ht="15.75" customHeight="1" x14ac:dyDescent="0.25">
      <c r="A47" s="223">
        <v>45720</v>
      </c>
      <c r="B47" s="224">
        <v>3.9006311400000002</v>
      </c>
      <c r="C47" s="224">
        <v>1.3420407599999999</v>
      </c>
      <c r="D47" s="225" t="s">
        <v>18</v>
      </c>
      <c r="E47" s="224">
        <v>61.150412500000002</v>
      </c>
      <c r="F47" s="224">
        <v>449.8</v>
      </c>
      <c r="G47" s="224">
        <v>2.4</v>
      </c>
      <c r="H47" s="224">
        <v>0.49375000000000002</v>
      </c>
      <c r="I47" s="224">
        <v>4.05</v>
      </c>
      <c r="J47" s="226">
        <v>523.1368344</v>
      </c>
    </row>
    <row r="48" spans="1:10" ht="15.75" customHeight="1" x14ac:dyDescent="0.25">
      <c r="A48" s="227">
        <v>45722</v>
      </c>
      <c r="B48" s="228">
        <v>3.9006311400000002</v>
      </c>
      <c r="C48" s="228">
        <v>1.3420407599999999</v>
      </c>
      <c r="D48" s="229" t="s">
        <v>18</v>
      </c>
      <c r="E48" s="228">
        <v>64.059906249999997</v>
      </c>
      <c r="F48" s="228">
        <v>447.4</v>
      </c>
      <c r="G48" s="228">
        <v>2.4</v>
      </c>
      <c r="H48" s="228">
        <v>0.49375000000000002</v>
      </c>
      <c r="I48" s="228">
        <v>4.05</v>
      </c>
      <c r="J48" s="230">
        <v>523.64632815000004</v>
      </c>
    </row>
    <row r="49" spans="1:10" ht="15.75" customHeight="1" x14ac:dyDescent="0.25">
      <c r="A49" s="223">
        <v>45725</v>
      </c>
      <c r="B49" s="224">
        <v>3.9006311400000002</v>
      </c>
      <c r="C49" s="224">
        <v>1.3420407599999999</v>
      </c>
      <c r="D49" s="225" t="s">
        <v>18</v>
      </c>
      <c r="E49" s="224">
        <v>64.059906249999997</v>
      </c>
      <c r="F49" s="224">
        <v>447.4</v>
      </c>
      <c r="G49" s="224">
        <v>2.4</v>
      </c>
      <c r="H49" s="224">
        <v>0.49375000000000002</v>
      </c>
      <c r="I49" s="224">
        <v>4.05</v>
      </c>
      <c r="J49" s="226">
        <v>523.64632815000004</v>
      </c>
    </row>
    <row r="50" spans="1:10" ht="15.75" customHeight="1" x14ac:dyDescent="0.25">
      <c r="A50" s="227">
        <v>45727</v>
      </c>
      <c r="B50" s="228">
        <v>3.9006311400000002</v>
      </c>
      <c r="C50" s="228">
        <v>1.3420407599999999</v>
      </c>
      <c r="D50" s="229" t="s">
        <v>18</v>
      </c>
      <c r="E50" s="228">
        <v>64.059906249999997</v>
      </c>
      <c r="F50" s="228">
        <v>440</v>
      </c>
      <c r="G50" s="228">
        <v>2.4</v>
      </c>
      <c r="H50" s="228">
        <v>0.49375000000000002</v>
      </c>
      <c r="I50" s="228">
        <v>4.05</v>
      </c>
      <c r="J50" s="230">
        <v>516.24632814999995</v>
      </c>
    </row>
    <row r="51" spans="1:10" ht="15.75" customHeight="1" x14ac:dyDescent="0.25">
      <c r="A51" s="223">
        <v>45729</v>
      </c>
      <c r="B51" s="224">
        <v>3.9006311400000002</v>
      </c>
      <c r="C51" s="224">
        <v>1.3420407599999999</v>
      </c>
      <c r="D51" s="224">
        <v>206.36</v>
      </c>
      <c r="E51" s="224">
        <v>64.059906249999997</v>
      </c>
      <c r="F51" s="224">
        <v>440</v>
      </c>
      <c r="G51" s="224">
        <v>2.4</v>
      </c>
      <c r="H51" s="224">
        <v>0.49375000000000002</v>
      </c>
      <c r="I51" s="224">
        <v>4.05</v>
      </c>
      <c r="J51" s="226">
        <v>722.60632814999997</v>
      </c>
    </row>
    <row r="52" spans="1:10" ht="15.75" customHeight="1" x14ac:dyDescent="0.25">
      <c r="A52" s="227">
        <v>45732</v>
      </c>
      <c r="B52" s="228">
        <v>3.9006311400000002</v>
      </c>
      <c r="C52" s="228">
        <v>1.3420407599999999</v>
      </c>
      <c r="D52" s="228">
        <v>206.36</v>
      </c>
      <c r="E52" s="228">
        <v>64.059906249999997</v>
      </c>
      <c r="F52" s="228">
        <v>440</v>
      </c>
      <c r="G52" s="228">
        <v>2.4</v>
      </c>
      <c r="H52" s="228">
        <v>0.49375000000000002</v>
      </c>
      <c r="I52" s="228">
        <v>4.05</v>
      </c>
      <c r="J52" s="230">
        <v>722.60632814999997</v>
      </c>
    </row>
    <row r="53" spans="1:10" ht="15.75" customHeight="1" x14ac:dyDescent="0.25">
      <c r="A53" s="223">
        <v>45734</v>
      </c>
      <c r="B53" s="224">
        <v>3.9006311400000002</v>
      </c>
      <c r="C53" s="224">
        <v>1.3420407599999999</v>
      </c>
      <c r="D53" s="224">
        <v>206.36</v>
      </c>
      <c r="E53" s="224">
        <v>61.252499999999998</v>
      </c>
      <c r="F53" s="224">
        <v>440</v>
      </c>
      <c r="G53" s="224">
        <v>2.4</v>
      </c>
      <c r="H53" s="224">
        <v>0.49375000000000002</v>
      </c>
      <c r="I53" s="224">
        <v>4.05</v>
      </c>
      <c r="J53" s="226">
        <v>719.79892189999998</v>
      </c>
    </row>
    <row r="54" spans="1:10" ht="15.75" customHeight="1" x14ac:dyDescent="0.25">
      <c r="A54" s="227">
        <v>45736</v>
      </c>
      <c r="B54" s="228">
        <v>3.9006311400000002</v>
      </c>
      <c r="C54" s="228">
        <v>1.3420407599999999</v>
      </c>
      <c r="D54" s="228">
        <v>206.36</v>
      </c>
      <c r="E54" s="228">
        <v>61.252499999999998</v>
      </c>
      <c r="F54" s="228">
        <v>429.8</v>
      </c>
      <c r="G54" s="228">
        <v>2.4</v>
      </c>
      <c r="H54" s="228">
        <v>0.49375000000000002</v>
      </c>
      <c r="I54" s="228">
        <v>4.05</v>
      </c>
      <c r="J54" s="230">
        <v>709.59892190000005</v>
      </c>
    </row>
    <row r="55" spans="1:10" ht="15.75" customHeight="1" x14ac:dyDescent="0.25">
      <c r="A55" s="223">
        <v>45739</v>
      </c>
      <c r="B55" s="224">
        <v>3.9006311400000002</v>
      </c>
      <c r="C55" s="224">
        <v>1.3420407599999999</v>
      </c>
      <c r="D55" s="224">
        <v>206.36</v>
      </c>
      <c r="E55" s="224">
        <v>61.252499999999998</v>
      </c>
      <c r="F55" s="224">
        <v>429.8</v>
      </c>
      <c r="G55" s="224">
        <v>2.4</v>
      </c>
      <c r="H55" s="224">
        <v>0.49375000000000002</v>
      </c>
      <c r="I55" s="224">
        <v>4.05</v>
      </c>
      <c r="J55" s="226">
        <v>709.59892190000005</v>
      </c>
    </row>
    <row r="56" spans="1:10" ht="15.75" customHeight="1" x14ac:dyDescent="0.25">
      <c r="A56" s="227">
        <v>45741</v>
      </c>
      <c r="B56" s="228">
        <v>3.9006311400000002</v>
      </c>
      <c r="C56" s="228">
        <v>1.3420407599999999</v>
      </c>
      <c r="D56" s="228">
        <v>206.36</v>
      </c>
      <c r="E56" s="228">
        <v>61.252499999999998</v>
      </c>
      <c r="F56" s="228">
        <v>440</v>
      </c>
      <c r="G56" s="228">
        <v>2.4</v>
      </c>
      <c r="H56" s="228">
        <v>0.49375000000000002</v>
      </c>
      <c r="I56" s="228">
        <v>4.05</v>
      </c>
      <c r="J56" s="230">
        <v>719.79892189999998</v>
      </c>
    </row>
    <row r="57" spans="1:10" ht="15.75" customHeight="1" x14ac:dyDescent="0.25">
      <c r="A57" s="223">
        <v>45743</v>
      </c>
      <c r="B57" s="224">
        <v>3.9006311400000002</v>
      </c>
      <c r="C57" s="224">
        <v>1.3420407599999999</v>
      </c>
      <c r="D57" s="224">
        <v>206.36</v>
      </c>
      <c r="E57" s="224">
        <v>61.252499999999998</v>
      </c>
      <c r="F57" s="224">
        <v>440</v>
      </c>
      <c r="G57" s="224">
        <v>2.4</v>
      </c>
      <c r="H57" s="224">
        <v>0.5</v>
      </c>
      <c r="I57" s="224">
        <v>4.05</v>
      </c>
      <c r="J57" s="226">
        <v>719.8051719</v>
      </c>
    </row>
    <row r="58" spans="1:10" ht="15.75" customHeight="1" x14ac:dyDescent="0.25">
      <c r="A58" s="227">
        <v>45746</v>
      </c>
      <c r="B58" s="228">
        <v>3.9006311400000002</v>
      </c>
      <c r="C58" s="228">
        <v>1.3420407599999999</v>
      </c>
      <c r="D58" s="228">
        <v>206.36</v>
      </c>
      <c r="E58" s="228">
        <v>61.252499999999998</v>
      </c>
      <c r="F58" s="228">
        <v>440</v>
      </c>
      <c r="G58" s="228">
        <v>2.4</v>
      </c>
      <c r="H58" s="228">
        <v>0.49375000000000002</v>
      </c>
      <c r="I58" s="228">
        <v>4.05</v>
      </c>
      <c r="J58" s="230">
        <v>719.79892189999998</v>
      </c>
    </row>
    <row r="59" spans="1:10" ht="15.75" customHeight="1" x14ac:dyDescent="0.25">
      <c r="A59" s="223">
        <v>45750</v>
      </c>
      <c r="B59" s="224">
        <v>3.9006311400000002</v>
      </c>
      <c r="C59" s="224">
        <v>1.3420407599999999</v>
      </c>
      <c r="D59" s="224">
        <v>206.36</v>
      </c>
      <c r="E59" s="224">
        <v>61.252499999999998</v>
      </c>
      <c r="F59" s="224">
        <v>440</v>
      </c>
      <c r="G59" s="224">
        <v>2.4</v>
      </c>
      <c r="H59" s="224">
        <v>0.49375000000000002</v>
      </c>
      <c r="I59" s="224">
        <v>4.05</v>
      </c>
      <c r="J59" s="226">
        <v>719.79892189999998</v>
      </c>
    </row>
    <row r="60" spans="1:10" ht="15.75" customHeight="1" x14ac:dyDescent="0.25">
      <c r="A60" s="227">
        <v>45753</v>
      </c>
      <c r="B60" s="228">
        <v>3.9006311400000002</v>
      </c>
      <c r="C60" s="228">
        <v>1.3420407599999999</v>
      </c>
      <c r="D60" s="228">
        <v>206.36</v>
      </c>
      <c r="E60" s="228">
        <v>61.252499999999998</v>
      </c>
      <c r="F60" s="228">
        <v>440</v>
      </c>
      <c r="G60" s="228">
        <v>2.4</v>
      </c>
      <c r="H60" s="228">
        <v>0.49375000000000002</v>
      </c>
      <c r="I60" s="228">
        <v>4.05</v>
      </c>
      <c r="J60" s="230">
        <v>719.79892189999998</v>
      </c>
    </row>
    <row r="61" spans="1:10" ht="15.75" customHeight="1" x14ac:dyDescent="0.25">
      <c r="A61" s="223">
        <v>45755</v>
      </c>
      <c r="B61" s="224">
        <v>3.9006311400000002</v>
      </c>
      <c r="C61" s="224">
        <v>1.3420407599999999</v>
      </c>
      <c r="D61" s="224">
        <v>206.36</v>
      </c>
      <c r="E61" s="224">
        <v>61.252499999999998</v>
      </c>
      <c r="F61" s="224">
        <v>440</v>
      </c>
      <c r="G61" s="224">
        <v>2.4</v>
      </c>
      <c r="H61" s="224">
        <v>0.48749999999999999</v>
      </c>
      <c r="I61" s="224">
        <v>4.05</v>
      </c>
      <c r="J61" s="226">
        <v>719.79267189999996</v>
      </c>
    </row>
    <row r="62" spans="1:10" ht="15.75" customHeight="1" x14ac:dyDescent="0.25">
      <c r="A62" s="227">
        <v>45757</v>
      </c>
      <c r="B62" s="228">
        <v>3.9006311400000002</v>
      </c>
      <c r="C62" s="228">
        <v>1.3420407599999999</v>
      </c>
      <c r="D62" s="228">
        <v>206.36</v>
      </c>
      <c r="E62" s="228">
        <v>61.252499999999998</v>
      </c>
      <c r="F62" s="228">
        <v>460</v>
      </c>
      <c r="G62" s="228">
        <v>2.4</v>
      </c>
      <c r="H62" s="228">
        <v>0.48749999999999999</v>
      </c>
      <c r="I62" s="228">
        <v>4.05</v>
      </c>
      <c r="J62" s="230">
        <v>739.79267189999996</v>
      </c>
    </row>
    <row r="63" spans="1:10" ht="15.75" customHeight="1" x14ac:dyDescent="0.25">
      <c r="A63" s="223">
        <v>45760</v>
      </c>
      <c r="B63" s="224">
        <v>3.9006311400000002</v>
      </c>
      <c r="C63" s="224">
        <v>1.3420407599999999</v>
      </c>
      <c r="D63" s="224">
        <v>206.36</v>
      </c>
      <c r="E63" s="224">
        <v>61.252499999999998</v>
      </c>
      <c r="F63" s="224">
        <v>460</v>
      </c>
      <c r="G63" s="224">
        <v>2.4</v>
      </c>
      <c r="H63" s="224">
        <v>0.48749999999999999</v>
      </c>
      <c r="I63" s="224">
        <v>4.05</v>
      </c>
      <c r="J63" s="226">
        <v>739.79267189999996</v>
      </c>
    </row>
    <row r="64" spans="1:10" ht="15.75" customHeight="1" x14ac:dyDescent="0.25">
      <c r="A64" s="227">
        <v>45762</v>
      </c>
      <c r="B64" s="228">
        <v>3.9006311400000002</v>
      </c>
      <c r="C64" s="228">
        <v>1.3420407599999999</v>
      </c>
      <c r="D64" s="228">
        <v>206.36</v>
      </c>
      <c r="E64" s="228">
        <v>61.252499999999998</v>
      </c>
      <c r="F64" s="228">
        <v>460</v>
      </c>
      <c r="G64" s="228">
        <v>2.4</v>
      </c>
      <c r="H64" s="228">
        <v>0.48749999999999999</v>
      </c>
      <c r="I64" s="228">
        <v>4.05</v>
      </c>
      <c r="J64" s="230">
        <v>739.79267189999996</v>
      </c>
    </row>
    <row r="65" spans="1:10" ht="15.75" customHeight="1" x14ac:dyDescent="0.25">
      <c r="A65" s="223">
        <v>45764</v>
      </c>
      <c r="B65" s="224">
        <v>3.909918357</v>
      </c>
      <c r="C65" s="224">
        <v>1.3420407599999999</v>
      </c>
      <c r="D65" s="224">
        <v>206.36</v>
      </c>
      <c r="E65" s="224">
        <v>61.252499999999998</v>
      </c>
      <c r="F65" s="224">
        <v>459.8</v>
      </c>
      <c r="G65" s="224">
        <v>2.4</v>
      </c>
      <c r="H65" s="224">
        <v>0.48749999999999999</v>
      </c>
      <c r="I65" s="224">
        <v>4.05</v>
      </c>
      <c r="J65" s="226">
        <v>739.60195911699998</v>
      </c>
    </row>
    <row r="66" spans="1:10" ht="15.75" customHeight="1" x14ac:dyDescent="0.25">
      <c r="A66" s="227">
        <v>45767</v>
      </c>
      <c r="B66" s="228">
        <v>3.909918357</v>
      </c>
      <c r="C66" s="228">
        <v>1.3420407599999999</v>
      </c>
      <c r="D66" s="228">
        <v>206.36</v>
      </c>
      <c r="E66" s="228">
        <v>61.252499999999998</v>
      </c>
      <c r="F66" s="228">
        <v>460</v>
      </c>
      <c r="G66" s="228">
        <v>2.4</v>
      </c>
      <c r="H66" s="228">
        <v>0.48749999999999999</v>
      </c>
      <c r="I66" s="228">
        <v>4.05</v>
      </c>
      <c r="J66" s="230">
        <v>739.80195911700002</v>
      </c>
    </row>
    <row r="67" spans="1:10" ht="15.75" customHeight="1" x14ac:dyDescent="0.25">
      <c r="A67" s="223">
        <v>45769</v>
      </c>
      <c r="B67" s="224">
        <v>3.9006311400000002</v>
      </c>
      <c r="C67" s="224">
        <v>1.3420407599999999</v>
      </c>
      <c r="D67" s="224">
        <v>206.36</v>
      </c>
      <c r="E67" s="224">
        <v>61.252499999999998</v>
      </c>
      <c r="F67" s="224">
        <v>460</v>
      </c>
      <c r="G67" s="224">
        <v>2.4</v>
      </c>
      <c r="H67" s="224">
        <v>0.48749999999999999</v>
      </c>
      <c r="I67" s="224">
        <v>4.05</v>
      </c>
      <c r="J67" s="226">
        <v>739.79267189999996</v>
      </c>
    </row>
    <row r="68" spans="1:10" ht="15.75" customHeight="1" x14ac:dyDescent="0.25">
      <c r="A68" s="227">
        <v>45771</v>
      </c>
      <c r="B68" s="228">
        <v>3.8077589700000001</v>
      </c>
      <c r="C68" s="228">
        <v>1.3420407599999999</v>
      </c>
      <c r="D68" s="228">
        <v>206.50739999999999</v>
      </c>
      <c r="E68" s="228">
        <v>61.252499999999998</v>
      </c>
      <c r="F68" s="228">
        <v>460</v>
      </c>
      <c r="G68" s="228">
        <v>2.4</v>
      </c>
      <c r="H68" s="228">
        <v>0.48749999999999999</v>
      </c>
      <c r="I68" s="228">
        <v>4.05</v>
      </c>
      <c r="J68" s="230">
        <v>739.84719973000006</v>
      </c>
    </row>
    <row r="69" spans="1:10" ht="15.75" customHeight="1" x14ac:dyDescent="0.25">
      <c r="A69" s="223">
        <v>45774</v>
      </c>
      <c r="B69" s="224">
        <v>3.8077589700000001</v>
      </c>
      <c r="C69" s="224">
        <v>1.3420407599999999</v>
      </c>
      <c r="D69" s="224">
        <v>206.50739999999999</v>
      </c>
      <c r="E69" s="224">
        <v>61.252499999999998</v>
      </c>
      <c r="F69" s="224">
        <v>460</v>
      </c>
      <c r="G69" s="224">
        <v>2.4</v>
      </c>
      <c r="H69" s="224">
        <v>0.48749999999999999</v>
      </c>
      <c r="I69" s="224">
        <v>4.05</v>
      </c>
      <c r="J69" s="226">
        <v>739.84719973000006</v>
      </c>
    </row>
    <row r="70" spans="1:10" ht="15.75" customHeight="1" x14ac:dyDescent="0.25">
      <c r="A70" s="227">
        <v>45776</v>
      </c>
      <c r="B70" s="228">
        <v>3.9935033099999999</v>
      </c>
      <c r="C70" s="228">
        <v>1.3420407599999999</v>
      </c>
      <c r="D70" s="228">
        <v>207.09700000000001</v>
      </c>
      <c r="E70" s="228">
        <v>61.252499999999998</v>
      </c>
      <c r="F70" s="228">
        <v>460</v>
      </c>
      <c r="G70" s="228">
        <v>2.4</v>
      </c>
      <c r="H70" s="228">
        <v>0.48749999999999999</v>
      </c>
      <c r="I70" s="228">
        <v>4</v>
      </c>
      <c r="J70" s="230">
        <v>740.57254407000005</v>
      </c>
    </row>
    <row r="71" spans="1:10" ht="15.75" customHeight="1" x14ac:dyDescent="0.25">
      <c r="A71" s="223">
        <v>45781</v>
      </c>
      <c r="B71" s="224">
        <v>3.9935033099999999</v>
      </c>
      <c r="C71" s="224">
        <v>1.3420407599999999</v>
      </c>
      <c r="D71" s="224">
        <v>207.09700000000001</v>
      </c>
      <c r="E71" s="224">
        <v>61.252499999999998</v>
      </c>
      <c r="F71" s="224">
        <v>460</v>
      </c>
      <c r="G71" s="224">
        <v>2.4</v>
      </c>
      <c r="H71" s="224">
        <v>0.48749999999999999</v>
      </c>
      <c r="I71" s="224">
        <v>4</v>
      </c>
      <c r="J71" s="226">
        <v>740.57254407000005</v>
      </c>
    </row>
    <row r="72" spans="1:10" ht="15.75" customHeight="1" x14ac:dyDescent="0.25">
      <c r="A72" s="227">
        <v>45783</v>
      </c>
      <c r="B72" s="228">
        <v>3.9935033099999999</v>
      </c>
      <c r="C72" s="228">
        <v>1.3420407599999999</v>
      </c>
      <c r="D72" s="228">
        <v>207.834</v>
      </c>
      <c r="E72" s="228">
        <v>61.252499999999998</v>
      </c>
      <c r="F72" s="228">
        <v>460</v>
      </c>
      <c r="G72" s="228">
        <v>2.4</v>
      </c>
      <c r="H72" s="228">
        <v>0.49375000000000002</v>
      </c>
      <c r="I72" s="228">
        <v>4.05</v>
      </c>
      <c r="J72" s="230">
        <v>741.36579406999999</v>
      </c>
    </row>
    <row r="73" spans="1:10" ht="15.75" customHeight="1" x14ac:dyDescent="0.25">
      <c r="A73" s="223">
        <v>45785</v>
      </c>
      <c r="B73" s="224">
        <v>3.9935033099999999</v>
      </c>
      <c r="C73" s="224">
        <v>1.3420407599999999</v>
      </c>
      <c r="D73" s="224">
        <v>207.834</v>
      </c>
      <c r="E73" s="224">
        <v>61.252499999999998</v>
      </c>
      <c r="F73" s="224">
        <v>460</v>
      </c>
      <c r="G73" s="224">
        <v>2.4</v>
      </c>
      <c r="H73" s="224">
        <v>0.48749999999999999</v>
      </c>
      <c r="I73" s="224">
        <v>4.05</v>
      </c>
      <c r="J73" s="226">
        <v>741.35954406999997</v>
      </c>
    </row>
    <row r="74" spans="1:10" ht="15.75" customHeight="1" x14ac:dyDescent="0.25">
      <c r="A74" s="227">
        <v>45788</v>
      </c>
      <c r="B74" s="228">
        <v>3.9935033099999999</v>
      </c>
      <c r="C74" s="228">
        <v>1.3420407599999999</v>
      </c>
      <c r="D74" s="228">
        <v>208.571</v>
      </c>
      <c r="E74" s="228">
        <v>61.252499999999998</v>
      </c>
      <c r="F74" s="228">
        <v>460</v>
      </c>
      <c r="G74" s="228">
        <v>2.4</v>
      </c>
      <c r="H74" s="228">
        <v>0.48749999999999999</v>
      </c>
      <c r="I74" s="228">
        <v>4.05</v>
      </c>
      <c r="J74" s="230">
        <v>742.09654407000005</v>
      </c>
    </row>
    <row r="75" spans="1:10" ht="15.75" customHeight="1" x14ac:dyDescent="0.25">
      <c r="A75" s="223">
        <v>45790</v>
      </c>
      <c r="B75" s="224">
        <v>3.9006311400000002</v>
      </c>
      <c r="C75" s="224">
        <v>1.3420407599999999</v>
      </c>
      <c r="D75" s="224">
        <v>208.571</v>
      </c>
      <c r="E75" s="224">
        <v>61.252499999999998</v>
      </c>
      <c r="F75" s="224">
        <v>460</v>
      </c>
      <c r="G75" s="224">
        <v>2.4</v>
      </c>
      <c r="H75" s="224">
        <v>0.48749999999999999</v>
      </c>
      <c r="I75" s="224">
        <v>4.05</v>
      </c>
      <c r="J75" s="226">
        <v>742.00367189999997</v>
      </c>
    </row>
    <row r="76" spans="1:10" ht="15.75" customHeight="1" x14ac:dyDescent="0.25">
      <c r="A76" s="227">
        <v>45792</v>
      </c>
      <c r="B76" s="228">
        <v>3.9006311400000002</v>
      </c>
      <c r="C76" s="228">
        <v>1.3420407599999999</v>
      </c>
      <c r="D76" s="228">
        <v>208.571</v>
      </c>
      <c r="E76" s="228">
        <v>61.252499999999998</v>
      </c>
      <c r="F76" s="228">
        <v>460</v>
      </c>
      <c r="G76" s="228">
        <v>2.4</v>
      </c>
      <c r="H76" s="228">
        <v>0.48749999999999999</v>
      </c>
      <c r="I76" s="228">
        <v>4.05</v>
      </c>
      <c r="J76" s="230">
        <v>742.00367189999997</v>
      </c>
    </row>
    <row r="77" spans="1:10" ht="15.75" customHeight="1" x14ac:dyDescent="0.25">
      <c r="A77" s="223">
        <v>45795</v>
      </c>
      <c r="B77" s="224">
        <v>3.9006311400000002</v>
      </c>
      <c r="C77" s="224">
        <v>1.3420407599999999</v>
      </c>
      <c r="D77" s="224">
        <v>208.571</v>
      </c>
      <c r="E77" s="224">
        <v>61.252499999999998</v>
      </c>
      <c r="F77" s="224">
        <v>460</v>
      </c>
      <c r="G77" s="224">
        <v>2.4</v>
      </c>
      <c r="H77" s="224">
        <v>0.48749999999999999</v>
      </c>
      <c r="I77" s="224">
        <v>4.05</v>
      </c>
      <c r="J77" s="226">
        <v>742.00367189999997</v>
      </c>
    </row>
    <row r="78" spans="1:10" ht="15.75" customHeight="1" x14ac:dyDescent="0.25">
      <c r="A78" s="227">
        <v>45797</v>
      </c>
      <c r="B78" s="228">
        <v>3.9006311400000002</v>
      </c>
      <c r="C78" s="228">
        <v>1.3420407599999999</v>
      </c>
      <c r="D78" s="228">
        <v>208.571</v>
      </c>
      <c r="E78" s="228">
        <v>63.830209375000003</v>
      </c>
      <c r="F78" s="228">
        <v>460</v>
      </c>
      <c r="G78" s="228">
        <v>2.4</v>
      </c>
      <c r="H78" s="228">
        <v>0.48749999999999999</v>
      </c>
      <c r="I78" s="228">
        <v>4.05</v>
      </c>
      <c r="J78" s="230">
        <v>744.58138127500001</v>
      </c>
    </row>
    <row r="79" spans="1:10" ht="15.75" customHeight="1" x14ac:dyDescent="0.25">
      <c r="A79" s="223">
        <v>45799</v>
      </c>
      <c r="B79" s="224">
        <v>3.9006311400000002</v>
      </c>
      <c r="C79" s="224">
        <v>1.3420407599999999</v>
      </c>
      <c r="D79" s="224">
        <v>208.571</v>
      </c>
      <c r="E79" s="224">
        <v>63.830209375000003</v>
      </c>
      <c r="F79" s="224">
        <v>460</v>
      </c>
      <c r="G79" s="224">
        <v>2.4</v>
      </c>
      <c r="H79" s="224">
        <v>0.48749999999999999</v>
      </c>
      <c r="I79" s="224">
        <v>4.05</v>
      </c>
      <c r="J79" s="226">
        <v>744.58138127500001</v>
      </c>
    </row>
    <row r="80" spans="1:10" ht="15.75" customHeight="1" x14ac:dyDescent="0.25">
      <c r="A80" s="227">
        <v>45802</v>
      </c>
      <c r="B80" s="228">
        <v>3.9006311400000002</v>
      </c>
      <c r="C80" s="228">
        <v>1.3420407599999999</v>
      </c>
      <c r="D80" s="228">
        <v>208.571</v>
      </c>
      <c r="E80" s="228">
        <v>63.830209375000003</v>
      </c>
      <c r="F80" s="228">
        <v>460</v>
      </c>
      <c r="G80" s="228">
        <v>2.4</v>
      </c>
      <c r="H80" s="228">
        <v>0.48749999999999999</v>
      </c>
      <c r="I80" s="228">
        <v>4.05</v>
      </c>
      <c r="J80" s="230">
        <v>744.58138127500001</v>
      </c>
    </row>
    <row r="81" spans="1:10" ht="15.75" customHeight="1" x14ac:dyDescent="0.25">
      <c r="A81" s="223">
        <v>45804</v>
      </c>
      <c r="B81" s="224">
        <v>3.9006311400000002</v>
      </c>
      <c r="C81" s="224">
        <v>1.3420407599999999</v>
      </c>
      <c r="D81" s="224">
        <v>209.30799999999999</v>
      </c>
      <c r="E81" s="224">
        <v>63.830209375000003</v>
      </c>
      <c r="F81" s="224">
        <v>460</v>
      </c>
      <c r="G81" s="224">
        <v>2.4</v>
      </c>
      <c r="H81" s="224">
        <v>0.48749999999999999</v>
      </c>
      <c r="I81" s="224">
        <v>4.05</v>
      </c>
      <c r="J81" s="226">
        <v>745.31838127499998</v>
      </c>
    </row>
    <row r="82" spans="1:10" ht="15.75" customHeight="1" x14ac:dyDescent="0.25">
      <c r="A82" s="227">
        <v>45806</v>
      </c>
      <c r="B82" s="228">
        <v>3.9006311400000002</v>
      </c>
      <c r="C82" s="228">
        <v>1.3420407599999999</v>
      </c>
      <c r="D82" s="228">
        <v>208.7184</v>
      </c>
      <c r="E82" s="228">
        <v>63.8046875</v>
      </c>
      <c r="F82" s="228">
        <v>460</v>
      </c>
      <c r="G82" s="228">
        <v>2.4</v>
      </c>
      <c r="H82" s="228">
        <v>0.48749999999999999</v>
      </c>
      <c r="I82" s="228">
        <v>4.05</v>
      </c>
      <c r="J82" s="230">
        <v>744.70325939999998</v>
      </c>
    </row>
    <row r="83" spans="1:10" ht="15.75" customHeight="1" x14ac:dyDescent="0.25">
      <c r="A83" s="223">
        <v>45809</v>
      </c>
      <c r="B83" s="224">
        <v>3.9006311400000002</v>
      </c>
      <c r="C83" s="224">
        <v>1.3420407599999999</v>
      </c>
      <c r="D83" s="224">
        <v>209.30799999999999</v>
      </c>
      <c r="E83" s="224">
        <v>63.8046875</v>
      </c>
      <c r="F83" s="224">
        <v>460</v>
      </c>
      <c r="G83" s="224">
        <v>2.4</v>
      </c>
      <c r="H83" s="224">
        <v>0.48249999999999998</v>
      </c>
      <c r="I83" s="224">
        <v>4.05</v>
      </c>
      <c r="J83" s="226">
        <v>745.2878594</v>
      </c>
    </row>
    <row r="84" spans="1:10" ht="15.75" customHeight="1" x14ac:dyDescent="0.25">
      <c r="A84" s="227">
        <v>45811</v>
      </c>
      <c r="B84" s="228">
        <v>3.9006311400000002</v>
      </c>
      <c r="C84" s="228">
        <v>1.3420407599999999</v>
      </c>
      <c r="D84" s="228">
        <v>209.30799999999999</v>
      </c>
      <c r="E84" s="228">
        <v>63.8046875</v>
      </c>
      <c r="F84" s="228">
        <v>460</v>
      </c>
      <c r="G84" s="228">
        <v>2.4</v>
      </c>
      <c r="H84" s="228">
        <v>0.48249999999999998</v>
      </c>
      <c r="I84" s="228">
        <v>4.05</v>
      </c>
      <c r="J84" s="230">
        <v>745.2878594</v>
      </c>
    </row>
    <row r="85" spans="1:10" ht="15.75" customHeight="1" x14ac:dyDescent="0.25">
      <c r="A85" s="223">
        <v>45813</v>
      </c>
      <c r="B85" s="224">
        <v>3.9006311400000002</v>
      </c>
      <c r="C85" s="224">
        <v>1.3420407599999999</v>
      </c>
      <c r="D85" s="224">
        <v>209.30799999999999</v>
      </c>
      <c r="E85" s="224">
        <v>62.528593749999999</v>
      </c>
      <c r="F85" s="224">
        <v>460</v>
      </c>
      <c r="G85" s="224">
        <v>2.4</v>
      </c>
      <c r="H85" s="224">
        <v>0.48249999999999998</v>
      </c>
      <c r="I85" s="224">
        <v>4.05</v>
      </c>
      <c r="J85" s="226">
        <v>744.01176565000003</v>
      </c>
    </row>
    <row r="86" spans="1:10" ht="15.75" customHeight="1" x14ac:dyDescent="0.25">
      <c r="A86" s="227">
        <v>45817</v>
      </c>
      <c r="B86" s="228">
        <v>3.9006311400000002</v>
      </c>
      <c r="C86" s="228">
        <v>1.3420407599999999</v>
      </c>
      <c r="D86" s="228">
        <v>209.30799999999999</v>
      </c>
      <c r="E86" s="228">
        <v>62.528593749999999</v>
      </c>
      <c r="F86" s="228">
        <v>460</v>
      </c>
      <c r="G86" s="228">
        <v>2.4</v>
      </c>
      <c r="H86" s="228">
        <v>0.48249999999999998</v>
      </c>
      <c r="I86" s="228">
        <v>4.05</v>
      </c>
      <c r="J86" s="230">
        <v>744.01176565000003</v>
      </c>
    </row>
    <row r="87" spans="1:10" ht="15.75" customHeight="1" x14ac:dyDescent="0.25">
      <c r="A87" s="223">
        <v>45818</v>
      </c>
      <c r="B87" s="224">
        <v>3.9006311400000002</v>
      </c>
      <c r="C87" s="224">
        <v>1.3420407599999999</v>
      </c>
      <c r="D87" s="224">
        <v>209.30799999999999</v>
      </c>
      <c r="E87" s="224">
        <v>62.528593749999999</v>
      </c>
      <c r="F87" s="224">
        <v>460</v>
      </c>
      <c r="G87" s="224">
        <v>2.4</v>
      </c>
      <c r="H87" s="224">
        <v>0.48249999999999998</v>
      </c>
      <c r="I87" s="224">
        <v>4.05</v>
      </c>
      <c r="J87" s="226">
        <v>744.01176565000003</v>
      </c>
    </row>
    <row r="88" spans="1:10" ht="15.75" customHeight="1" x14ac:dyDescent="0.25">
      <c r="A88" s="227">
        <v>45820</v>
      </c>
      <c r="B88" s="228">
        <v>3.9006311400000002</v>
      </c>
      <c r="C88" s="228">
        <v>1.3420407599999999</v>
      </c>
      <c r="D88" s="228">
        <v>209.30799999999999</v>
      </c>
      <c r="E88" s="228">
        <v>62.528593749999999</v>
      </c>
      <c r="F88" s="228">
        <v>460</v>
      </c>
      <c r="G88" s="228">
        <v>2.4</v>
      </c>
      <c r="H88" s="228">
        <v>0.48249999999999998</v>
      </c>
      <c r="I88" s="228">
        <v>4.05</v>
      </c>
      <c r="J88" s="230">
        <v>744.01176565000003</v>
      </c>
    </row>
    <row r="89" spans="1:10" ht="15.75" customHeight="1" x14ac:dyDescent="0.25">
      <c r="A89" s="223">
        <v>45823</v>
      </c>
      <c r="B89" s="224">
        <v>3.9006311400000002</v>
      </c>
      <c r="C89" s="224">
        <v>1.3420407599999999</v>
      </c>
      <c r="D89" s="224">
        <v>210.04499999999999</v>
      </c>
      <c r="E89" s="224">
        <v>62.528593749999999</v>
      </c>
      <c r="F89" s="224">
        <v>460</v>
      </c>
      <c r="G89" s="224">
        <v>2.4</v>
      </c>
      <c r="H89" s="224">
        <v>0.48249999999999998</v>
      </c>
      <c r="I89" s="224">
        <v>4.05</v>
      </c>
      <c r="J89" s="226">
        <v>744.74876565</v>
      </c>
    </row>
    <row r="90" spans="1:10" ht="15.75" customHeight="1" x14ac:dyDescent="0.25">
      <c r="A90" s="227">
        <v>45825</v>
      </c>
      <c r="B90" s="228">
        <v>3.9006311400000002</v>
      </c>
      <c r="C90" s="228">
        <v>1.3420407599999999</v>
      </c>
      <c r="D90" s="228">
        <v>210.19239999999999</v>
      </c>
      <c r="E90" s="228">
        <v>62.528593749999999</v>
      </c>
      <c r="F90" s="228">
        <v>460</v>
      </c>
      <c r="G90" s="228">
        <v>2.4</v>
      </c>
      <c r="H90" s="228">
        <v>0.48249999999999998</v>
      </c>
      <c r="I90" s="228">
        <v>4.05</v>
      </c>
      <c r="J90" s="230">
        <v>744.89616564999994</v>
      </c>
    </row>
    <row r="91" spans="1:10" ht="15.75" customHeight="1" x14ac:dyDescent="0.25">
      <c r="A91" s="223">
        <v>45827</v>
      </c>
      <c r="B91" s="224">
        <v>4.0863754800000001</v>
      </c>
      <c r="C91" s="224">
        <v>1.3420407599999999</v>
      </c>
      <c r="D91" s="224">
        <v>210.04499999999999</v>
      </c>
      <c r="E91" s="224">
        <v>62.528593749999999</v>
      </c>
      <c r="F91" s="224">
        <v>460</v>
      </c>
      <c r="G91" s="224">
        <v>2.4</v>
      </c>
      <c r="H91" s="224">
        <v>0.48249999999999998</v>
      </c>
      <c r="I91" s="224">
        <v>4.05</v>
      </c>
      <c r="J91" s="226">
        <v>744.93450999000004</v>
      </c>
    </row>
    <row r="92" spans="1:10" ht="15.75" customHeight="1" x14ac:dyDescent="0.25">
      <c r="A92" s="227">
        <v>45830</v>
      </c>
      <c r="B92" s="228">
        <v>4.0863754800000001</v>
      </c>
      <c r="C92" s="228">
        <v>1.3420407599999999</v>
      </c>
      <c r="D92" s="228">
        <v>210.04499999999999</v>
      </c>
      <c r="E92" s="228">
        <v>62.528593749999999</v>
      </c>
      <c r="F92" s="228">
        <v>460</v>
      </c>
      <c r="G92" s="228">
        <v>2.4</v>
      </c>
      <c r="H92" s="228">
        <v>0.48249999999999998</v>
      </c>
      <c r="I92" s="228">
        <v>4.05</v>
      </c>
      <c r="J92" s="230">
        <v>744.93450999000004</v>
      </c>
    </row>
    <row r="93" spans="1:10" ht="15.75" customHeight="1" x14ac:dyDescent="0.25">
      <c r="A93" s="223">
        <v>45832</v>
      </c>
      <c r="B93" s="224">
        <v>3.9006311400000002</v>
      </c>
      <c r="C93" s="224">
        <v>1.3420407599999999</v>
      </c>
      <c r="D93" s="224">
        <v>210.78200000000001</v>
      </c>
      <c r="E93" s="224">
        <v>62.528593749999999</v>
      </c>
      <c r="F93" s="224">
        <v>459.8</v>
      </c>
      <c r="G93" s="224">
        <v>2.4</v>
      </c>
      <c r="H93" s="224">
        <v>0.48249999999999998</v>
      </c>
      <c r="I93" s="224">
        <v>4.05</v>
      </c>
      <c r="J93" s="226">
        <v>745.28576565000003</v>
      </c>
    </row>
    <row r="94" spans="1:10" ht="15.75" customHeight="1" x14ac:dyDescent="0.25">
      <c r="A94" s="227">
        <v>45834</v>
      </c>
      <c r="B94" s="228">
        <v>3.9006311400000002</v>
      </c>
      <c r="C94" s="228">
        <v>1.3420407599999999</v>
      </c>
      <c r="D94" s="228">
        <v>210.78200000000001</v>
      </c>
      <c r="E94" s="228">
        <v>62.528593749999999</v>
      </c>
      <c r="F94" s="228">
        <v>460</v>
      </c>
      <c r="G94" s="228">
        <v>2.4</v>
      </c>
      <c r="H94" s="228">
        <v>0.48249999999999998</v>
      </c>
      <c r="I94" s="228">
        <v>4.05</v>
      </c>
      <c r="J94" s="230">
        <v>745.48576564999996</v>
      </c>
    </row>
    <row r="95" spans="1:10" ht="15.75" customHeight="1" x14ac:dyDescent="0.25">
      <c r="A95" s="223">
        <v>45837</v>
      </c>
      <c r="B95" s="224">
        <v>3.9006311400000002</v>
      </c>
      <c r="C95" s="224">
        <v>1.3420407599999999</v>
      </c>
      <c r="D95" s="224">
        <v>210.78200000000001</v>
      </c>
      <c r="E95" s="224">
        <v>62.528593749999999</v>
      </c>
      <c r="F95" s="224">
        <v>460</v>
      </c>
      <c r="G95" s="224">
        <v>2.4</v>
      </c>
      <c r="H95" s="224">
        <v>0.48249999999999998</v>
      </c>
      <c r="I95" s="224">
        <v>4.05</v>
      </c>
      <c r="J95" s="226">
        <v>745.48576564999996</v>
      </c>
    </row>
    <row r="96" spans="1:10" ht="15.75" customHeight="1" x14ac:dyDescent="0.25">
      <c r="A96" s="227">
        <v>45839</v>
      </c>
      <c r="B96" s="228">
        <v>3.9006311400000002</v>
      </c>
      <c r="C96" s="228">
        <v>1.3420407599999999</v>
      </c>
      <c r="D96" s="228">
        <v>210.78200000000001</v>
      </c>
      <c r="E96" s="228">
        <v>62.528593749999999</v>
      </c>
      <c r="F96" s="228">
        <v>460</v>
      </c>
      <c r="G96" s="228">
        <v>2.4</v>
      </c>
      <c r="H96" s="228">
        <v>0.48249999999999998</v>
      </c>
      <c r="I96" s="228">
        <v>4.05</v>
      </c>
      <c r="J96" s="230">
        <v>745.48576564999996</v>
      </c>
    </row>
    <row r="97" spans="1:10" ht="15.75" customHeight="1" x14ac:dyDescent="0.25">
      <c r="A97" s="223">
        <v>45841</v>
      </c>
      <c r="B97" s="224">
        <v>3.9006311400000002</v>
      </c>
      <c r="C97" s="224">
        <v>1.3420407599999999</v>
      </c>
      <c r="D97" s="224">
        <v>213.58260000000001</v>
      </c>
      <c r="E97" s="224">
        <v>62.528593749999999</v>
      </c>
      <c r="F97" s="224">
        <v>460</v>
      </c>
      <c r="G97" s="224">
        <v>2.4</v>
      </c>
      <c r="H97" s="224">
        <v>0.48249999999999998</v>
      </c>
      <c r="I97" s="224">
        <v>4.05</v>
      </c>
      <c r="J97" s="226">
        <v>748.28636564999999</v>
      </c>
    </row>
    <row r="98" spans="1:10" ht="15.75" customHeight="1" x14ac:dyDescent="0.25">
      <c r="A98" s="227">
        <v>45845</v>
      </c>
      <c r="B98" s="228">
        <v>3.9006311400000002</v>
      </c>
      <c r="C98" s="228">
        <v>1.3420407599999999</v>
      </c>
      <c r="D98" s="228">
        <v>213.58260000000001</v>
      </c>
      <c r="E98" s="228">
        <v>62.528593749999999</v>
      </c>
      <c r="F98" s="228">
        <v>460</v>
      </c>
      <c r="G98" s="228">
        <v>2.4</v>
      </c>
      <c r="H98" s="228">
        <v>0.48249999999999998</v>
      </c>
      <c r="I98" s="228">
        <v>4.05</v>
      </c>
      <c r="J98" s="230">
        <v>748.28636564999999</v>
      </c>
    </row>
    <row r="99" spans="1:10" ht="15.75" customHeight="1" x14ac:dyDescent="0.25">
      <c r="A99" s="223">
        <v>45846</v>
      </c>
      <c r="B99" s="224">
        <v>3.9006311400000002</v>
      </c>
      <c r="C99" s="224">
        <v>1.3420407599999999</v>
      </c>
      <c r="D99" s="224">
        <v>213.73</v>
      </c>
      <c r="E99" s="224">
        <v>62.528593749999999</v>
      </c>
      <c r="F99" s="224">
        <v>460</v>
      </c>
      <c r="G99" s="224">
        <v>2.4</v>
      </c>
      <c r="H99" s="224">
        <v>0.48249999999999998</v>
      </c>
      <c r="I99" s="224">
        <v>4.05</v>
      </c>
      <c r="J99" s="226">
        <v>748.43376565000005</v>
      </c>
    </row>
    <row r="100" spans="1:10" ht="15.75" customHeight="1" x14ac:dyDescent="0.25">
      <c r="A100" s="227">
        <v>45848</v>
      </c>
      <c r="B100" s="228">
        <v>3.9563544419999999</v>
      </c>
      <c r="C100" s="228">
        <v>1.3420407599999999</v>
      </c>
      <c r="D100" s="228">
        <v>213.73</v>
      </c>
      <c r="E100" s="228">
        <v>62.528593749999999</v>
      </c>
      <c r="F100" s="228">
        <v>460</v>
      </c>
      <c r="G100" s="228">
        <v>2.4</v>
      </c>
      <c r="H100" s="228">
        <v>0.48249999999999998</v>
      </c>
      <c r="I100" s="228">
        <v>4.05</v>
      </c>
      <c r="J100" s="230">
        <v>748.48948895199999</v>
      </c>
    </row>
    <row r="101" spans="1:10" ht="15.75" customHeight="1" x14ac:dyDescent="0.25">
      <c r="A101" s="223">
        <v>45851</v>
      </c>
      <c r="B101" s="224">
        <v>3.9563544419999999</v>
      </c>
      <c r="C101" s="224">
        <v>1.3420407599999999</v>
      </c>
      <c r="D101" s="224">
        <v>213.73</v>
      </c>
      <c r="E101" s="224">
        <v>62.528593749999999</v>
      </c>
      <c r="F101" s="224">
        <v>460</v>
      </c>
      <c r="G101" s="224">
        <v>2.4</v>
      </c>
      <c r="H101" s="224">
        <v>0.48249999999999998</v>
      </c>
      <c r="I101" s="224">
        <v>4.05</v>
      </c>
      <c r="J101" s="226">
        <v>748.48948895199999</v>
      </c>
    </row>
    <row r="102" spans="1:10" ht="15.75" customHeight="1" x14ac:dyDescent="0.25">
      <c r="A102" s="227">
        <v>45853</v>
      </c>
      <c r="B102" s="228">
        <v>3.9563544419999999</v>
      </c>
      <c r="C102" s="228">
        <v>1.3420407599999999</v>
      </c>
      <c r="D102" s="228">
        <v>202.2328</v>
      </c>
      <c r="E102" s="228">
        <v>62.528593749999999</v>
      </c>
      <c r="F102" s="228">
        <v>460</v>
      </c>
      <c r="G102" s="228">
        <v>2.4</v>
      </c>
      <c r="H102" s="228">
        <v>0.48249999999999998</v>
      </c>
      <c r="I102" s="228">
        <v>4.05</v>
      </c>
      <c r="J102" s="230">
        <v>736.99228895199997</v>
      </c>
    </row>
    <row r="103" spans="1:10" ht="15.75" customHeight="1" x14ac:dyDescent="0.25">
      <c r="A103" s="223">
        <v>45855</v>
      </c>
      <c r="B103" s="224">
        <v>3.9563544419999999</v>
      </c>
      <c r="C103" s="224">
        <v>1.3420407599999999</v>
      </c>
      <c r="D103" s="224">
        <v>212.256</v>
      </c>
      <c r="E103" s="224">
        <v>63.8046875</v>
      </c>
      <c r="F103" s="224">
        <v>460</v>
      </c>
      <c r="G103" s="224">
        <v>2.4</v>
      </c>
      <c r="H103" s="224">
        <v>0.5</v>
      </c>
      <c r="I103" s="224">
        <v>4.05</v>
      </c>
      <c r="J103" s="226">
        <v>748.30908270199996</v>
      </c>
    </row>
    <row r="104" spans="1:10" ht="15.75" customHeight="1" x14ac:dyDescent="0.25">
      <c r="A104" s="227">
        <v>45858</v>
      </c>
      <c r="B104" s="228">
        <v>3.9563544419999999</v>
      </c>
      <c r="C104" s="228">
        <v>1.3420407599999999</v>
      </c>
      <c r="D104" s="228">
        <v>213.73</v>
      </c>
      <c r="E104" s="228">
        <v>63.8046875</v>
      </c>
      <c r="F104" s="228">
        <v>460</v>
      </c>
      <c r="G104" s="228">
        <v>2.4</v>
      </c>
      <c r="H104" s="228">
        <v>0.5</v>
      </c>
      <c r="I104" s="228">
        <v>4.05</v>
      </c>
      <c r="J104" s="230">
        <v>749.783082702</v>
      </c>
    </row>
    <row r="105" spans="1:10" ht="15.75" customHeight="1" x14ac:dyDescent="0.25">
      <c r="A105" s="223">
        <v>45860</v>
      </c>
      <c r="B105" s="224">
        <v>3.9563544419999999</v>
      </c>
      <c r="C105" s="224">
        <v>1.3420407599999999</v>
      </c>
      <c r="D105" s="224">
        <v>213.73</v>
      </c>
      <c r="E105" s="224">
        <v>62.783812500000003</v>
      </c>
      <c r="F105" s="224">
        <v>456.6</v>
      </c>
      <c r="G105" s="224">
        <v>2.4</v>
      </c>
      <c r="H105" s="224">
        <v>0.5</v>
      </c>
      <c r="I105" s="224">
        <v>4.05</v>
      </c>
      <c r="J105" s="226">
        <v>745.36220770199998</v>
      </c>
    </row>
    <row r="106" spans="1:10" ht="15.75" customHeight="1" x14ac:dyDescent="0.25">
      <c r="A106" s="227">
        <v>45862</v>
      </c>
      <c r="B106" s="228">
        <v>3.9563544419999999</v>
      </c>
      <c r="C106" s="228">
        <v>1.3420407599999999</v>
      </c>
      <c r="D106" s="228">
        <v>211.51900000000001</v>
      </c>
      <c r="E106" s="228">
        <v>63.8046875</v>
      </c>
      <c r="F106" s="228">
        <v>456.6</v>
      </c>
      <c r="G106" s="228">
        <v>2.4</v>
      </c>
      <c r="H106" s="228">
        <v>0.5</v>
      </c>
      <c r="I106" s="228">
        <v>4.05</v>
      </c>
      <c r="J106" s="230">
        <v>744.17208270200001</v>
      </c>
    </row>
    <row r="107" spans="1:10" ht="15.75" customHeight="1" x14ac:dyDescent="0.25">
      <c r="A107" s="223">
        <v>45865</v>
      </c>
      <c r="B107" s="224">
        <v>3.9563544419999999</v>
      </c>
      <c r="C107" s="224">
        <v>1.3420407599999999</v>
      </c>
      <c r="D107" s="224">
        <v>212.256</v>
      </c>
      <c r="E107" s="224">
        <v>63.8046875</v>
      </c>
      <c r="F107" s="224">
        <v>456.6</v>
      </c>
      <c r="G107" s="224">
        <v>2.4</v>
      </c>
      <c r="H107" s="224">
        <v>0.5</v>
      </c>
      <c r="I107" s="224">
        <v>4.05</v>
      </c>
      <c r="J107" s="226">
        <v>744.90908270199998</v>
      </c>
    </row>
    <row r="108" spans="1:10" ht="15.75" customHeight="1" x14ac:dyDescent="0.25">
      <c r="A108" s="227">
        <v>45867</v>
      </c>
      <c r="B108" s="228">
        <v>3.9563544419999999</v>
      </c>
      <c r="C108" s="228">
        <v>1.3420407599999999</v>
      </c>
      <c r="D108" s="228">
        <v>210.78200000000001</v>
      </c>
      <c r="E108" s="228">
        <v>63.8046875</v>
      </c>
      <c r="F108" s="228">
        <v>456.6</v>
      </c>
      <c r="G108" s="228">
        <v>2.4</v>
      </c>
      <c r="H108" s="228">
        <v>0.5</v>
      </c>
      <c r="I108" s="228">
        <v>4.05</v>
      </c>
      <c r="J108" s="230">
        <v>743.43508270200005</v>
      </c>
    </row>
    <row r="109" spans="1:10" ht="15.75" customHeight="1" x14ac:dyDescent="0.25">
      <c r="A109" s="223">
        <v>45869</v>
      </c>
      <c r="B109" s="224">
        <v>3.631301847</v>
      </c>
      <c r="C109" s="224">
        <v>1.3420407599999999</v>
      </c>
      <c r="D109" s="224">
        <v>210.63460000000001</v>
      </c>
      <c r="E109" s="224">
        <v>63.8046875</v>
      </c>
      <c r="F109" s="224">
        <v>456.6</v>
      </c>
      <c r="G109" s="224">
        <v>2.4</v>
      </c>
      <c r="H109" s="224">
        <v>0.5</v>
      </c>
      <c r="I109" s="224">
        <v>4.05</v>
      </c>
      <c r="J109" s="226">
        <v>742.962630107</v>
      </c>
    </row>
    <row r="110" spans="1:10" ht="15.75" customHeight="1" x14ac:dyDescent="0.25">
      <c r="A110" s="227">
        <v>45872</v>
      </c>
      <c r="B110" s="228">
        <v>3.631301847</v>
      </c>
      <c r="C110" s="228">
        <v>1.3420407599999999</v>
      </c>
      <c r="D110" s="228">
        <v>210.4872</v>
      </c>
      <c r="E110" s="228">
        <v>63.8046875</v>
      </c>
      <c r="F110" s="228">
        <v>456.6</v>
      </c>
      <c r="G110" s="228">
        <v>2.4</v>
      </c>
      <c r="H110" s="228">
        <v>0.5</v>
      </c>
      <c r="I110" s="228">
        <v>4.05</v>
      </c>
      <c r="J110" s="230">
        <v>742.81523010700005</v>
      </c>
    </row>
    <row r="111" spans="1:10" ht="15.75" customHeight="1" x14ac:dyDescent="0.25">
      <c r="A111" s="223">
        <v>45874</v>
      </c>
      <c r="B111" s="224">
        <v>3.9935033099999999</v>
      </c>
      <c r="C111" s="224">
        <v>1.3420407599999999</v>
      </c>
      <c r="D111" s="224">
        <v>208.571</v>
      </c>
      <c r="E111" s="224">
        <v>63.8046875</v>
      </c>
      <c r="F111" s="224">
        <v>456</v>
      </c>
      <c r="G111" s="224">
        <v>2.4</v>
      </c>
      <c r="H111" s="224">
        <v>0.5</v>
      </c>
      <c r="I111" s="224">
        <v>4.05</v>
      </c>
      <c r="J111" s="226">
        <v>740.66123157000004</v>
      </c>
    </row>
    <row r="112" spans="1:10" ht="15.75" customHeight="1" x14ac:dyDescent="0.25">
      <c r="A112" s="227">
        <v>45876</v>
      </c>
      <c r="B112" s="228">
        <v>3.9935033099999999</v>
      </c>
      <c r="C112" s="228">
        <v>1.3420407599999999</v>
      </c>
      <c r="D112" s="228">
        <v>206.36</v>
      </c>
      <c r="E112" s="228">
        <v>63.8046875</v>
      </c>
      <c r="F112" s="228">
        <v>456.6</v>
      </c>
      <c r="G112" s="228">
        <v>2.4</v>
      </c>
      <c r="H112" s="228">
        <v>0.5</v>
      </c>
      <c r="I112" s="228">
        <v>4.05</v>
      </c>
      <c r="J112" s="230">
        <v>739.05023157000005</v>
      </c>
    </row>
    <row r="113" spans="1:10" ht="15.75" customHeight="1" x14ac:dyDescent="0.25">
      <c r="A113" s="223">
        <v>45879</v>
      </c>
      <c r="B113" s="224">
        <v>3.9935033099999999</v>
      </c>
      <c r="C113" s="224">
        <v>1.3420407599999999</v>
      </c>
      <c r="D113" s="224">
        <v>209.30799999999999</v>
      </c>
      <c r="E113" s="224">
        <v>63.8046875</v>
      </c>
      <c r="F113" s="224">
        <v>456.6</v>
      </c>
      <c r="G113" s="224">
        <v>2.4</v>
      </c>
      <c r="H113" s="224">
        <v>0.5</v>
      </c>
      <c r="I113" s="224">
        <v>3.84</v>
      </c>
      <c r="J113" s="226">
        <v>741.78823156999999</v>
      </c>
    </row>
    <row r="114" spans="1:10" ht="15.75" customHeight="1" x14ac:dyDescent="0.25">
      <c r="A114" s="227">
        <v>45881</v>
      </c>
      <c r="B114" s="228">
        <v>3.9935033099999999</v>
      </c>
      <c r="C114" s="228">
        <v>1.3420407599999999</v>
      </c>
      <c r="D114" s="228">
        <v>209.16059999999999</v>
      </c>
      <c r="E114" s="228">
        <v>63.8046875</v>
      </c>
      <c r="F114" s="228">
        <v>456.6</v>
      </c>
      <c r="G114" s="228">
        <v>2.4</v>
      </c>
      <c r="H114" s="228">
        <v>0.5</v>
      </c>
      <c r="I114" s="228">
        <v>3.84</v>
      </c>
      <c r="J114" s="230">
        <v>741.64083157000005</v>
      </c>
    </row>
    <row r="115" spans="1:10" ht="15.75" customHeight="1" x14ac:dyDescent="0.25">
      <c r="A115" s="223">
        <v>45883</v>
      </c>
      <c r="B115" s="224">
        <v>3.9935033099999999</v>
      </c>
      <c r="C115" s="224">
        <v>1.3420407599999999</v>
      </c>
      <c r="D115" s="224">
        <v>209.01320000000001</v>
      </c>
      <c r="E115" s="224">
        <v>63.8046875</v>
      </c>
      <c r="F115" s="224">
        <v>456.2</v>
      </c>
      <c r="G115" s="224">
        <v>2.4</v>
      </c>
      <c r="H115" s="224">
        <v>0.5</v>
      </c>
      <c r="I115" s="224">
        <v>3.84</v>
      </c>
      <c r="J115" s="226">
        <v>741.09343157000001</v>
      </c>
    </row>
    <row r="116" spans="1:10" ht="15.75" customHeight="1" x14ac:dyDescent="0.25">
      <c r="A116" s="227">
        <v>45886</v>
      </c>
      <c r="B116" s="228">
        <v>3.9935033099999999</v>
      </c>
      <c r="C116" s="228">
        <v>1.3420407599999999</v>
      </c>
      <c r="D116" s="228">
        <v>208.42359999999999</v>
      </c>
      <c r="E116" s="228">
        <v>63.8046875</v>
      </c>
      <c r="F116" s="228">
        <v>456.6</v>
      </c>
      <c r="G116" s="228">
        <v>2.4</v>
      </c>
      <c r="H116" s="228">
        <v>0.5</v>
      </c>
      <c r="I116" s="228">
        <v>3.84</v>
      </c>
      <c r="J116" s="230">
        <v>740.90383156999997</v>
      </c>
    </row>
    <row r="117" spans="1:10" ht="15.75" customHeight="1" x14ac:dyDescent="0.25">
      <c r="A117" s="223">
        <v>45888</v>
      </c>
      <c r="B117" s="224">
        <v>3.9935033099999999</v>
      </c>
      <c r="C117" s="224">
        <v>1.3420407599999999</v>
      </c>
      <c r="D117" s="224">
        <v>206.36</v>
      </c>
      <c r="E117" s="224">
        <v>63.8046875</v>
      </c>
      <c r="F117" s="224">
        <v>456.2</v>
      </c>
      <c r="G117" s="224">
        <v>2.4</v>
      </c>
      <c r="H117" s="224">
        <v>0.5</v>
      </c>
      <c r="I117" s="224">
        <v>3.84</v>
      </c>
      <c r="J117" s="226">
        <v>738.44023157000004</v>
      </c>
    </row>
    <row r="118" spans="1:10" ht="15.75" customHeight="1" x14ac:dyDescent="0.25">
      <c r="A118" s="227">
        <v>45890</v>
      </c>
      <c r="B118" s="228">
        <v>3.9935033099999999</v>
      </c>
      <c r="C118" s="228">
        <v>1.3420407599999999</v>
      </c>
      <c r="D118" s="228">
        <v>206.36</v>
      </c>
      <c r="E118" s="228">
        <v>63.8046875</v>
      </c>
      <c r="F118" s="228">
        <v>456.2</v>
      </c>
      <c r="G118" s="228">
        <v>2.4</v>
      </c>
      <c r="H118" s="228">
        <v>0.5</v>
      </c>
      <c r="I118" s="228">
        <v>3.84</v>
      </c>
      <c r="J118" s="230">
        <v>738.44023157000004</v>
      </c>
    </row>
    <row r="119" spans="1:10" ht="15.75" customHeight="1" x14ac:dyDescent="0.25">
      <c r="A119" s="223">
        <v>45893</v>
      </c>
      <c r="B119" s="224">
        <v>3.9935033099999999</v>
      </c>
      <c r="C119" s="224">
        <v>1.3420407599999999</v>
      </c>
      <c r="D119" s="224">
        <v>208.571</v>
      </c>
      <c r="E119" s="224">
        <v>63.8046875</v>
      </c>
      <c r="F119" s="224">
        <v>456.6</v>
      </c>
      <c r="G119" s="224">
        <v>2.4</v>
      </c>
      <c r="H119" s="224">
        <v>0.5</v>
      </c>
      <c r="I119" s="224">
        <v>3.84</v>
      </c>
      <c r="J119" s="226">
        <v>741.05123157000003</v>
      </c>
    </row>
    <row r="120" spans="1:10" ht="15.75" customHeight="1" x14ac:dyDescent="0.25">
      <c r="A120" s="227">
        <v>45895</v>
      </c>
      <c r="B120" s="228">
        <v>3.9935033099999999</v>
      </c>
      <c r="C120" s="228">
        <v>1.3420407599999999</v>
      </c>
      <c r="D120" s="228">
        <v>207.6866</v>
      </c>
      <c r="E120" s="228">
        <v>63.8046875</v>
      </c>
      <c r="F120" s="228">
        <v>456.2</v>
      </c>
      <c r="G120" s="228">
        <v>2.4</v>
      </c>
      <c r="H120" s="228">
        <v>0.5</v>
      </c>
      <c r="I120" s="228">
        <v>3.84</v>
      </c>
      <c r="J120" s="230">
        <v>739.76683157000002</v>
      </c>
    </row>
    <row r="121" spans="1:10" ht="15.75" customHeight="1" x14ac:dyDescent="0.25">
      <c r="A121" s="223">
        <v>45897</v>
      </c>
      <c r="B121" s="224">
        <v>3.9935033099999999</v>
      </c>
      <c r="C121" s="224">
        <v>1.3420407599999999</v>
      </c>
      <c r="D121" s="224">
        <v>208.42359999999999</v>
      </c>
      <c r="E121" s="224">
        <v>63.8046875</v>
      </c>
      <c r="F121" s="224">
        <v>456</v>
      </c>
      <c r="G121" s="224">
        <v>2.4</v>
      </c>
      <c r="H121" s="224">
        <v>0.5</v>
      </c>
      <c r="I121" s="224">
        <v>3.84</v>
      </c>
      <c r="J121" s="226">
        <v>740.30383157000006</v>
      </c>
    </row>
    <row r="122" spans="1:10" ht="15.75" customHeight="1" x14ac:dyDescent="0.25">
      <c r="A122" s="227">
        <v>45900</v>
      </c>
      <c r="B122" s="228">
        <v>3.9935033099999999</v>
      </c>
      <c r="C122" s="228">
        <v>1.3420407599999999</v>
      </c>
      <c r="D122" s="228">
        <v>207.6866</v>
      </c>
      <c r="E122" s="228">
        <v>59.721187499999999</v>
      </c>
      <c r="F122" s="228">
        <v>456</v>
      </c>
      <c r="G122" s="228">
        <v>2.4</v>
      </c>
      <c r="H122" s="228">
        <v>0.5</v>
      </c>
      <c r="I122" s="228">
        <v>3.84</v>
      </c>
      <c r="J122" s="230">
        <v>735.48333157000002</v>
      </c>
    </row>
    <row r="123" spans="1:10" ht="15.75" customHeight="1" x14ac:dyDescent="0.25">
      <c r="A123" s="223">
        <v>45902</v>
      </c>
      <c r="B123" s="224">
        <v>3.9935033099999999</v>
      </c>
      <c r="C123" s="224">
        <v>1.3420407599999999</v>
      </c>
      <c r="D123" s="224">
        <v>208.571</v>
      </c>
      <c r="E123" s="224">
        <v>59.721187499999999</v>
      </c>
      <c r="F123" s="224">
        <v>455.6</v>
      </c>
      <c r="G123" s="224">
        <v>2.4</v>
      </c>
      <c r="H123" s="224">
        <v>0.5</v>
      </c>
      <c r="I123" s="224">
        <v>3.84</v>
      </c>
      <c r="J123" s="226">
        <v>735.96773156999996</v>
      </c>
    </row>
    <row r="124" spans="1:10" ht="15.75" customHeight="1" x14ac:dyDescent="0.25">
      <c r="A124" s="227">
        <v>45904</v>
      </c>
      <c r="B124" s="228">
        <v>4.0120777439999999</v>
      </c>
      <c r="C124" s="228">
        <v>1.3420407599999999</v>
      </c>
      <c r="D124" s="228">
        <v>208.571</v>
      </c>
      <c r="E124" s="228">
        <v>59.721187499999999</v>
      </c>
      <c r="F124" s="228">
        <v>455.4</v>
      </c>
      <c r="G124" s="228">
        <v>2.4</v>
      </c>
      <c r="H124" s="228">
        <v>0.5</v>
      </c>
      <c r="I124" s="228">
        <v>3.91</v>
      </c>
      <c r="J124" s="230">
        <v>735.85630600399998</v>
      </c>
    </row>
    <row r="125" spans="1:10" ht="15.75" customHeight="1" x14ac:dyDescent="0.25">
      <c r="A125" s="223">
        <v>45907</v>
      </c>
      <c r="B125" s="224">
        <v>4.0120777439999999</v>
      </c>
      <c r="C125" s="224">
        <v>1.3420407599999999</v>
      </c>
      <c r="D125" s="224">
        <v>208.571</v>
      </c>
      <c r="E125" s="224">
        <v>59.721187499999999</v>
      </c>
      <c r="F125" s="224">
        <v>455.4</v>
      </c>
      <c r="G125" s="224">
        <v>2.4</v>
      </c>
      <c r="H125" s="224">
        <v>0.5</v>
      </c>
      <c r="I125" s="224">
        <v>3.84</v>
      </c>
      <c r="J125" s="226">
        <v>735.78630600400004</v>
      </c>
    </row>
    <row r="126" spans="1:10" ht="15.75" customHeight="1" x14ac:dyDescent="0.25">
      <c r="A126" s="227">
        <v>45909</v>
      </c>
      <c r="B126" s="228">
        <v>4.0120777439999999</v>
      </c>
      <c r="C126" s="228">
        <v>1.3420407599999999</v>
      </c>
      <c r="D126" s="228">
        <v>207.6866</v>
      </c>
      <c r="E126" s="228">
        <v>59.721187499999999</v>
      </c>
      <c r="F126" s="228">
        <v>454</v>
      </c>
      <c r="G126" s="228">
        <v>2.4</v>
      </c>
      <c r="H126" s="228">
        <v>0.5</v>
      </c>
      <c r="I126" s="228">
        <v>3.84</v>
      </c>
      <c r="J126" s="230">
        <v>733.50190600400003</v>
      </c>
    </row>
    <row r="127" spans="1:10" ht="15.75" customHeight="1" x14ac:dyDescent="0.25">
      <c r="A127" s="223">
        <v>45911</v>
      </c>
      <c r="B127" s="224">
        <v>4.1792476499999998</v>
      </c>
      <c r="C127" s="224">
        <v>1.3420407599999999</v>
      </c>
      <c r="D127" s="224">
        <v>207.6866</v>
      </c>
      <c r="E127" s="224">
        <v>60.001928124999999</v>
      </c>
      <c r="F127" s="224">
        <v>453.8</v>
      </c>
      <c r="G127" s="224">
        <v>2.4</v>
      </c>
      <c r="H127" s="224">
        <v>0.5</v>
      </c>
      <c r="I127" s="224">
        <v>3.84</v>
      </c>
      <c r="J127" s="226">
        <v>733.74981653500004</v>
      </c>
    </row>
    <row r="128" spans="1:10" ht="15.75" customHeight="1" x14ac:dyDescent="0.25">
      <c r="A128" s="227">
        <v>45914</v>
      </c>
      <c r="B128" s="228">
        <v>4.1792476499999998</v>
      </c>
      <c r="C128" s="228">
        <v>1.3420407599999999</v>
      </c>
      <c r="D128" s="228">
        <v>206.36</v>
      </c>
      <c r="E128" s="228">
        <v>60.001928124999999</v>
      </c>
      <c r="F128" s="228">
        <v>453.8</v>
      </c>
      <c r="G128" s="228">
        <v>2.4</v>
      </c>
      <c r="H128" s="228">
        <v>0.5</v>
      </c>
      <c r="I128" s="228">
        <v>3.84</v>
      </c>
      <c r="J128" s="230">
        <v>732.42321653500005</v>
      </c>
    </row>
    <row r="129" spans="1:10" ht="15.75" customHeight="1" x14ac:dyDescent="0.25">
      <c r="A129" s="223">
        <v>45916</v>
      </c>
      <c r="B129" s="224">
        <v>4.1792476499999998</v>
      </c>
      <c r="C129" s="224">
        <v>1.3420407599999999</v>
      </c>
      <c r="D129" s="224">
        <v>206.36</v>
      </c>
      <c r="E129" s="224">
        <v>60.001928124999999</v>
      </c>
      <c r="F129" s="224">
        <v>452</v>
      </c>
      <c r="G129" s="224">
        <v>2.4</v>
      </c>
      <c r="H129" s="224">
        <v>0.5</v>
      </c>
      <c r="I129" s="224">
        <v>3.84</v>
      </c>
      <c r="J129" s="226">
        <v>730.62321653499998</v>
      </c>
    </row>
    <row r="130" spans="1:10" ht="15.75" customHeight="1" x14ac:dyDescent="0.25">
      <c r="A130" s="227">
        <v>45918</v>
      </c>
      <c r="B130" s="228">
        <v>4.1792476499999998</v>
      </c>
      <c r="C130" s="228">
        <v>1.3420407599999999</v>
      </c>
      <c r="D130" s="228">
        <v>207.6866</v>
      </c>
      <c r="E130" s="228">
        <v>60.001928124999999</v>
      </c>
      <c r="F130" s="228">
        <v>445.8</v>
      </c>
      <c r="G130" s="228">
        <v>2.4</v>
      </c>
      <c r="H130" s="228">
        <v>0.5</v>
      </c>
      <c r="I130" s="228">
        <v>3.85</v>
      </c>
      <c r="J130" s="230">
        <v>725.75981653500003</v>
      </c>
    </row>
    <row r="131" spans="1:10" ht="15.75" customHeight="1" x14ac:dyDescent="0.25">
      <c r="A131" s="223">
        <v>45921</v>
      </c>
      <c r="B131" s="224">
        <v>4.1792476499999998</v>
      </c>
      <c r="C131" s="224">
        <v>1.3420407599999999</v>
      </c>
      <c r="D131" s="224">
        <v>207.834</v>
      </c>
      <c r="E131" s="224">
        <v>60.001928124999999</v>
      </c>
      <c r="F131" s="224">
        <v>445.8</v>
      </c>
      <c r="G131" s="224">
        <v>2.4</v>
      </c>
      <c r="H131" s="224">
        <v>0.5</v>
      </c>
      <c r="I131" s="224">
        <v>3.85</v>
      </c>
      <c r="J131" s="226">
        <v>725.90721653499998</v>
      </c>
    </row>
    <row r="132" spans="1:10" ht="15.75" customHeight="1" x14ac:dyDescent="0.25">
      <c r="A132" s="227">
        <v>45923</v>
      </c>
      <c r="B132" s="228">
        <v>4.1792476499999998</v>
      </c>
      <c r="C132" s="228">
        <v>1.3420407599999999</v>
      </c>
      <c r="D132" s="228">
        <v>207.834</v>
      </c>
      <c r="E132" s="228">
        <v>60.001928124999999</v>
      </c>
      <c r="F132" s="228">
        <v>445.8</v>
      </c>
      <c r="G132" s="228">
        <v>2.4</v>
      </c>
      <c r="H132" s="228">
        <v>0.5</v>
      </c>
      <c r="I132" s="228">
        <v>4</v>
      </c>
      <c r="J132" s="230">
        <v>726.05721653499995</v>
      </c>
    </row>
    <row r="133" spans="1:10" ht="15.75" customHeight="1" x14ac:dyDescent="0.25">
      <c r="A133" s="223">
        <v>45925</v>
      </c>
      <c r="B133" s="224">
        <v>4.1792476499999998</v>
      </c>
      <c r="C133" s="224">
        <v>1.3420407599999999</v>
      </c>
      <c r="D133" s="224">
        <v>207.834</v>
      </c>
      <c r="E133" s="224">
        <v>60.001928124999999</v>
      </c>
      <c r="F133" s="224">
        <v>423.6</v>
      </c>
      <c r="G133" s="224">
        <v>2.4</v>
      </c>
      <c r="H133" s="224">
        <v>0.45</v>
      </c>
      <c r="I133" s="224">
        <v>4</v>
      </c>
      <c r="J133" s="226">
        <v>703.80721653499995</v>
      </c>
    </row>
    <row r="134" spans="1:10" ht="15.75" customHeight="1" x14ac:dyDescent="0.25">
      <c r="A134" s="227">
        <v>45928</v>
      </c>
      <c r="B134" s="228">
        <v>4.1792476499999998</v>
      </c>
      <c r="C134" s="228">
        <v>1.3420407599999999</v>
      </c>
      <c r="D134" s="228">
        <v>208.571</v>
      </c>
      <c r="E134" s="228">
        <v>60.001928124999999</v>
      </c>
      <c r="F134" s="228">
        <v>423.6</v>
      </c>
      <c r="G134" s="228">
        <v>2.4</v>
      </c>
      <c r="H134" s="228">
        <v>0.45</v>
      </c>
      <c r="I134" s="228">
        <v>4</v>
      </c>
      <c r="J134" s="230">
        <v>704.54421653500003</v>
      </c>
    </row>
    <row r="135" spans="1:10" ht="15.75" customHeight="1" x14ac:dyDescent="0.25">
      <c r="A135" s="223">
        <v>45930</v>
      </c>
      <c r="B135" s="224">
        <v>4.1792476499999998</v>
      </c>
      <c r="C135" s="224">
        <v>1.3328487</v>
      </c>
      <c r="D135" s="224">
        <v>208.571</v>
      </c>
      <c r="E135" s="224">
        <v>62.783812500000003</v>
      </c>
      <c r="F135" s="224">
        <v>422.6</v>
      </c>
      <c r="G135" s="224">
        <v>2.4</v>
      </c>
      <c r="H135" s="224">
        <v>0.45</v>
      </c>
      <c r="I135" s="224">
        <v>4</v>
      </c>
      <c r="J135" s="226">
        <v>706.31690885</v>
      </c>
    </row>
    <row r="136" spans="1:10" ht="15.75" customHeight="1" x14ac:dyDescent="0.25">
      <c r="A136" s="227">
        <v>45932</v>
      </c>
      <c r="B136" s="228">
        <v>4.1792476499999998</v>
      </c>
      <c r="C136" s="228">
        <v>1.3328487</v>
      </c>
      <c r="D136" s="228">
        <v>208.571</v>
      </c>
      <c r="E136" s="228">
        <v>62.783812500000003</v>
      </c>
      <c r="F136" s="228">
        <v>419</v>
      </c>
      <c r="G136" s="228">
        <v>2.4</v>
      </c>
      <c r="H136" s="228">
        <v>0.45</v>
      </c>
      <c r="I136" s="228">
        <v>4</v>
      </c>
      <c r="J136" s="230">
        <v>702.71690884999998</v>
      </c>
    </row>
    <row r="137" spans="1:10" ht="15.75" customHeight="1" x14ac:dyDescent="0.25">
      <c r="A137" s="223">
        <v>45935</v>
      </c>
      <c r="B137" s="224">
        <v>4.1792476499999998</v>
      </c>
      <c r="C137" s="224">
        <v>1.3328487</v>
      </c>
      <c r="D137" s="224">
        <v>208.571</v>
      </c>
      <c r="E137" s="224">
        <v>62.783812500000003</v>
      </c>
      <c r="F137" s="224">
        <v>418</v>
      </c>
      <c r="G137" s="224">
        <v>2.4</v>
      </c>
      <c r="H137" s="224">
        <v>0.45</v>
      </c>
      <c r="I137" s="224">
        <v>4</v>
      </c>
      <c r="J137" s="226">
        <v>701.71690884999998</v>
      </c>
    </row>
    <row r="138" spans="1:10" ht="15.75" customHeight="1" x14ac:dyDescent="0.25">
      <c r="A138" s="227">
        <v>45937</v>
      </c>
      <c r="B138" s="228">
        <v>4.1792476499999998</v>
      </c>
      <c r="C138" s="228">
        <v>1.3328487</v>
      </c>
      <c r="D138" s="228">
        <v>209.30799999999999</v>
      </c>
      <c r="E138" s="228">
        <v>62.783812500000003</v>
      </c>
      <c r="F138" s="228">
        <v>400</v>
      </c>
      <c r="G138" s="228">
        <v>2.4</v>
      </c>
      <c r="H138" s="228">
        <v>0.45</v>
      </c>
      <c r="I138" s="228">
        <v>3.85</v>
      </c>
      <c r="J138" s="230">
        <v>684.30390884999997</v>
      </c>
    </row>
    <row r="139" spans="1:10" ht="15.75" customHeight="1" x14ac:dyDescent="0.25">
      <c r="A139" s="223">
        <v>45939</v>
      </c>
      <c r="B139" s="224">
        <v>4.1792476499999998</v>
      </c>
      <c r="C139" s="224">
        <v>1.3328487</v>
      </c>
      <c r="D139" s="224">
        <v>209.30799999999999</v>
      </c>
      <c r="E139" s="224">
        <v>62.783812500000003</v>
      </c>
      <c r="F139" s="224">
        <v>400</v>
      </c>
      <c r="G139" s="224">
        <v>2.4</v>
      </c>
      <c r="H139" s="224">
        <v>0.45</v>
      </c>
      <c r="I139" s="224">
        <v>3.85</v>
      </c>
      <c r="J139" s="226">
        <v>684.30390884999997</v>
      </c>
    </row>
    <row r="140" spans="1:10" ht="15.75" customHeight="1" x14ac:dyDescent="0.25">
      <c r="A140" s="227">
        <v>45942</v>
      </c>
      <c r="B140" s="228">
        <v>4.1792476499999998</v>
      </c>
      <c r="C140" s="228">
        <v>1.3328487</v>
      </c>
      <c r="D140" s="228">
        <v>207.834</v>
      </c>
      <c r="E140" s="228">
        <v>62.783812500000003</v>
      </c>
      <c r="F140" s="228">
        <v>414</v>
      </c>
      <c r="G140" s="228">
        <v>2.4</v>
      </c>
      <c r="H140" s="228">
        <v>0.45</v>
      </c>
      <c r="I140" s="228">
        <v>4</v>
      </c>
      <c r="J140" s="230">
        <v>696.97990885000002</v>
      </c>
    </row>
    <row r="141" spans="1:10" ht="15.75" customHeight="1" x14ac:dyDescent="0.25">
      <c r="A141" s="223">
        <v>45944</v>
      </c>
      <c r="B141" s="224">
        <v>4.1792476499999998</v>
      </c>
      <c r="C141" s="224">
        <v>1.3328487</v>
      </c>
      <c r="D141" s="224">
        <v>206.36</v>
      </c>
      <c r="E141" s="224">
        <v>62.783812500000003</v>
      </c>
      <c r="F141" s="224">
        <v>414</v>
      </c>
      <c r="G141" s="224">
        <v>2.4</v>
      </c>
      <c r="H141" s="224">
        <v>0.45</v>
      </c>
      <c r="I141" s="224">
        <v>4</v>
      </c>
      <c r="J141" s="226">
        <v>695.50590884999997</v>
      </c>
    </row>
    <row r="142" spans="1:10" ht="15.75" customHeight="1" x14ac:dyDescent="0.25">
      <c r="A142" s="227">
        <v>45946</v>
      </c>
      <c r="B142" s="228">
        <v>4.1792476499999998</v>
      </c>
      <c r="C142" s="228">
        <v>1.3328487</v>
      </c>
      <c r="D142" s="228">
        <v>207.834</v>
      </c>
      <c r="E142" s="228">
        <v>62.783812500000003</v>
      </c>
      <c r="F142" s="228">
        <v>434.6</v>
      </c>
      <c r="G142" s="228">
        <v>2.4</v>
      </c>
      <c r="H142" s="228">
        <v>0.45</v>
      </c>
      <c r="I142" s="228">
        <v>4</v>
      </c>
      <c r="J142" s="230">
        <v>717.57990885000004</v>
      </c>
    </row>
    <row r="143" spans="1:10" ht="15.75" customHeight="1" x14ac:dyDescent="0.25">
      <c r="A143" s="223">
        <v>45949</v>
      </c>
      <c r="B143" s="224">
        <v>4.1792476499999998</v>
      </c>
      <c r="C143" s="224">
        <v>1.3328487</v>
      </c>
      <c r="D143" s="224">
        <v>207.834</v>
      </c>
      <c r="E143" s="224">
        <v>62.783812500000003</v>
      </c>
      <c r="F143" s="224">
        <v>450</v>
      </c>
      <c r="G143" s="224">
        <v>2.4</v>
      </c>
      <c r="H143" s="224">
        <v>0.45</v>
      </c>
      <c r="I143" s="224">
        <v>4</v>
      </c>
      <c r="J143" s="226">
        <v>732.97990885000002</v>
      </c>
    </row>
    <row r="144" spans="1:10" ht="15.75" customHeight="1" x14ac:dyDescent="0.25">
      <c r="A144" s="227">
        <v>45951</v>
      </c>
      <c r="B144" s="228">
        <v>4.1792476499999998</v>
      </c>
      <c r="C144" s="228">
        <v>1.3328487</v>
      </c>
      <c r="D144" s="228">
        <v>207.834</v>
      </c>
      <c r="E144" s="228">
        <v>62.783812500000003</v>
      </c>
      <c r="F144" s="228">
        <v>450</v>
      </c>
      <c r="G144" s="228">
        <v>2.2799999999999998</v>
      </c>
      <c r="H144" s="228">
        <v>0.45</v>
      </c>
      <c r="I144" s="228">
        <v>4</v>
      </c>
      <c r="J144" s="230">
        <v>732.85990885000001</v>
      </c>
    </row>
    <row r="145" spans="1:10" ht="15.75" customHeight="1" x14ac:dyDescent="0.25">
      <c r="A145" s="223">
        <v>45953</v>
      </c>
      <c r="B145" s="224">
        <v>4.1792476499999998</v>
      </c>
      <c r="C145" s="224">
        <v>1.3328487</v>
      </c>
      <c r="D145" s="224">
        <v>207.834</v>
      </c>
      <c r="E145" s="224">
        <v>62.783812500000003</v>
      </c>
      <c r="F145" s="224">
        <v>452</v>
      </c>
      <c r="G145" s="224">
        <v>2.2799999999999998</v>
      </c>
      <c r="H145" s="224">
        <v>0.45</v>
      </c>
      <c r="I145" s="224">
        <v>4</v>
      </c>
      <c r="J145" s="226">
        <v>734.85990885000001</v>
      </c>
    </row>
    <row r="146" spans="1:10" ht="15.75" customHeight="1" x14ac:dyDescent="0.25">
      <c r="A146" s="227">
        <v>45956</v>
      </c>
      <c r="B146" s="228">
        <v>4.1792476499999998</v>
      </c>
      <c r="C146" s="228">
        <v>1.3328487</v>
      </c>
      <c r="D146" s="228">
        <v>207.834</v>
      </c>
      <c r="E146" s="228">
        <v>62.783812500000003</v>
      </c>
      <c r="F146" s="228">
        <v>453</v>
      </c>
      <c r="G146" s="228">
        <v>2.2799999999999998</v>
      </c>
      <c r="H146" s="228">
        <v>0.45</v>
      </c>
      <c r="I146" s="228">
        <v>4</v>
      </c>
      <c r="J146" s="230">
        <v>735.85990885000001</v>
      </c>
    </row>
    <row r="147" spans="1:10" ht="15.75" customHeight="1" x14ac:dyDescent="0.25">
      <c r="A147" s="223">
        <v>45958</v>
      </c>
      <c r="B147" s="224">
        <v>4.1792476499999998</v>
      </c>
      <c r="C147" s="224">
        <v>1.3328487</v>
      </c>
      <c r="D147" s="224">
        <v>207.834</v>
      </c>
      <c r="E147" s="224">
        <v>62.783812500000003</v>
      </c>
      <c r="F147" s="224">
        <v>459</v>
      </c>
      <c r="G147" s="224">
        <v>2.2799999999999998</v>
      </c>
      <c r="H147" s="224">
        <v>0.45</v>
      </c>
      <c r="I147" s="224">
        <v>4</v>
      </c>
      <c r="J147" s="226">
        <v>741.85990885000001</v>
      </c>
    </row>
    <row r="148" spans="1:10" ht="15.75" customHeight="1" x14ac:dyDescent="0.25">
      <c r="A148" s="227">
        <v>45960</v>
      </c>
      <c r="B148" s="228">
        <v>4.1792476499999998</v>
      </c>
      <c r="C148" s="228">
        <v>1.3328487</v>
      </c>
      <c r="D148" s="228">
        <v>207.834</v>
      </c>
      <c r="E148" s="228">
        <v>62.783812500000003</v>
      </c>
      <c r="F148" s="228">
        <v>460</v>
      </c>
      <c r="G148" s="228">
        <v>2.2799999999999998</v>
      </c>
      <c r="H148" s="228">
        <v>0.49375000000000002</v>
      </c>
      <c r="I148" s="228">
        <v>3.85</v>
      </c>
      <c r="J148" s="230">
        <v>742.75365884999997</v>
      </c>
    </row>
    <row r="149" spans="1:10" ht="15.75" customHeight="1" x14ac:dyDescent="0.25">
      <c r="A149" s="223">
        <v>45963</v>
      </c>
      <c r="B149" s="224">
        <v>4.1792476499999998</v>
      </c>
      <c r="C149" s="224">
        <v>1.3328487</v>
      </c>
      <c r="D149" s="224">
        <v>207.834</v>
      </c>
      <c r="E149" s="224">
        <v>62.783812500000003</v>
      </c>
      <c r="F149" s="224">
        <v>460</v>
      </c>
      <c r="G149" s="224">
        <v>2.2799999999999998</v>
      </c>
      <c r="H149" s="224">
        <v>0.49375000000000002</v>
      </c>
      <c r="I149" s="224">
        <v>3.85</v>
      </c>
      <c r="J149" s="226">
        <v>742.75365884999997</v>
      </c>
    </row>
    <row r="150" spans="1:10" ht="15.75" customHeight="1" x14ac:dyDescent="0.25">
      <c r="A150" s="227">
        <v>45965</v>
      </c>
      <c r="B150" s="228">
        <v>4.1792476499999998</v>
      </c>
      <c r="C150" s="228">
        <v>1.3328487</v>
      </c>
      <c r="D150" s="228">
        <v>207.834</v>
      </c>
      <c r="E150" s="228">
        <v>63.8046875</v>
      </c>
      <c r="F150" s="228">
        <v>460</v>
      </c>
      <c r="G150" s="228">
        <v>2.2799999999999998</v>
      </c>
      <c r="H150" s="228">
        <v>0.49375000000000002</v>
      </c>
      <c r="I150" s="228">
        <v>3.85</v>
      </c>
      <c r="J150" s="230">
        <v>743.77453385000001</v>
      </c>
    </row>
    <row r="151" spans="1:10" ht="15.75" customHeight="1" x14ac:dyDescent="0.25">
      <c r="A151" s="223">
        <v>45967</v>
      </c>
      <c r="B151" s="224">
        <v>4.1792476499999998</v>
      </c>
      <c r="C151" s="224">
        <v>1.3328487</v>
      </c>
      <c r="D151" s="224">
        <v>206.9496</v>
      </c>
      <c r="E151" s="224">
        <v>63.830209375000003</v>
      </c>
      <c r="F151" s="224">
        <v>460</v>
      </c>
      <c r="G151" s="224">
        <v>2.2799999999999998</v>
      </c>
      <c r="H151" s="224">
        <v>0.45624999999999999</v>
      </c>
      <c r="I151" s="224">
        <v>3.85</v>
      </c>
      <c r="J151" s="226">
        <v>742.87815572500006</v>
      </c>
    </row>
    <row r="152" spans="1:10" ht="15.75" customHeight="1" x14ac:dyDescent="0.25">
      <c r="A152" s="227">
        <v>45970</v>
      </c>
      <c r="B152" s="228">
        <v>4.1792476499999998</v>
      </c>
      <c r="C152" s="228">
        <v>1.3328487</v>
      </c>
      <c r="D152" s="228">
        <v>206.36</v>
      </c>
      <c r="E152" s="228">
        <v>63.830209375000003</v>
      </c>
      <c r="F152" s="228">
        <v>460</v>
      </c>
      <c r="G152" s="228">
        <v>2.1659999999999999</v>
      </c>
      <c r="H152" s="228">
        <v>0.45624999999999999</v>
      </c>
      <c r="I152" s="228">
        <v>3.85</v>
      </c>
      <c r="J152" s="230">
        <v>742.174555725</v>
      </c>
    </row>
    <row r="153" spans="1:10" ht="15.75" customHeight="1" x14ac:dyDescent="0.25">
      <c r="A153" s="223">
        <v>45972</v>
      </c>
      <c r="B153" s="224">
        <v>4.1792476499999998</v>
      </c>
      <c r="C153" s="224">
        <v>1.3328487</v>
      </c>
      <c r="D153" s="224">
        <v>206.36</v>
      </c>
      <c r="E153" s="224">
        <v>63.830209375000003</v>
      </c>
      <c r="F153" s="224">
        <v>459.8</v>
      </c>
      <c r="G153" s="224">
        <v>2.1659999999999999</v>
      </c>
      <c r="H153" s="224">
        <v>0.45624999999999999</v>
      </c>
      <c r="I153" s="224">
        <v>4</v>
      </c>
      <c r="J153" s="226">
        <v>742.12455572500005</v>
      </c>
    </row>
    <row r="154" spans="1:10" ht="15.75" customHeight="1" x14ac:dyDescent="0.25">
      <c r="A154" s="227">
        <v>45974</v>
      </c>
      <c r="B154" s="228">
        <v>4.1792476499999998</v>
      </c>
      <c r="C154" s="228">
        <v>1.3328487</v>
      </c>
      <c r="D154" s="228">
        <v>206.36</v>
      </c>
      <c r="E154" s="228">
        <v>63.830209375000003</v>
      </c>
      <c r="F154" s="228">
        <v>459.8</v>
      </c>
      <c r="G154" s="228">
        <v>2.1659999999999999</v>
      </c>
      <c r="H154" s="228">
        <v>0.45624999999999999</v>
      </c>
      <c r="I154" s="228">
        <v>4</v>
      </c>
      <c r="J154" s="230">
        <v>742.12455572500005</v>
      </c>
    </row>
    <row r="155" spans="1:10" ht="15.75" customHeight="1" x14ac:dyDescent="0.25">
      <c r="A155" s="223">
        <v>45977</v>
      </c>
      <c r="B155" s="224">
        <v>4.1792476499999998</v>
      </c>
      <c r="C155" s="224">
        <v>1.3328487</v>
      </c>
      <c r="D155" s="224">
        <v>206.36</v>
      </c>
      <c r="E155" s="224">
        <v>63.8046875</v>
      </c>
      <c r="F155" s="224">
        <v>460</v>
      </c>
      <c r="G155" s="224">
        <v>2.1659999999999999</v>
      </c>
      <c r="H155" s="224">
        <v>0.45624999999999999</v>
      </c>
      <c r="I155" s="224">
        <v>4</v>
      </c>
      <c r="J155" s="226">
        <v>742.29903385</v>
      </c>
    </row>
    <row r="156" spans="1:10" ht="15.75" customHeight="1" x14ac:dyDescent="0.25">
      <c r="A156" s="227">
        <v>45979</v>
      </c>
      <c r="B156" s="228">
        <v>4.1792476499999998</v>
      </c>
      <c r="C156" s="228">
        <v>1.3328487</v>
      </c>
      <c r="D156" s="228">
        <v>206.36</v>
      </c>
      <c r="E156" s="228">
        <v>63.8046875</v>
      </c>
      <c r="F156" s="228">
        <v>460</v>
      </c>
      <c r="G156" s="228">
        <v>2.1659999999999999</v>
      </c>
      <c r="H156" s="228">
        <v>0.45624999999999999</v>
      </c>
      <c r="I156" s="228">
        <v>4</v>
      </c>
      <c r="J156" s="230">
        <v>742.29903385</v>
      </c>
    </row>
    <row r="157" spans="1:10" ht="15.75" customHeight="1" x14ac:dyDescent="0.25">
      <c r="A157" s="223">
        <v>45981</v>
      </c>
      <c r="B157" s="224">
        <v>4.1792476499999998</v>
      </c>
      <c r="C157" s="224">
        <v>1.3328487</v>
      </c>
      <c r="D157" s="224">
        <v>206.36</v>
      </c>
      <c r="E157" s="224">
        <v>63.8046875</v>
      </c>
      <c r="F157" s="224">
        <v>460</v>
      </c>
      <c r="G157" s="224">
        <v>2.1659999999999999</v>
      </c>
      <c r="H157" s="224">
        <v>0.45624999999999999</v>
      </c>
      <c r="I157" s="224">
        <v>4</v>
      </c>
      <c r="J157" s="226">
        <v>742.29903385</v>
      </c>
    </row>
    <row r="158" spans="1:10" ht="15.75" customHeight="1" x14ac:dyDescent="0.25">
      <c r="A158" s="227">
        <v>45984</v>
      </c>
      <c r="B158" s="228">
        <v>4.1792476499999998</v>
      </c>
      <c r="C158" s="228">
        <v>1.3328487</v>
      </c>
      <c r="D158" s="228">
        <v>206.36</v>
      </c>
      <c r="E158" s="228">
        <v>63.8046875</v>
      </c>
      <c r="F158" s="228">
        <v>460</v>
      </c>
      <c r="G158" s="228">
        <v>2.1659999999999999</v>
      </c>
      <c r="H158" s="228">
        <v>0.45624999999999999</v>
      </c>
      <c r="I158" s="228">
        <v>4</v>
      </c>
      <c r="J158" s="230">
        <v>742.29903385</v>
      </c>
    </row>
    <row r="159" spans="1:10" ht="15.75" customHeight="1" x14ac:dyDescent="0.25">
      <c r="A159" s="223">
        <v>45986</v>
      </c>
      <c r="B159" s="224">
        <v>4.1792476499999998</v>
      </c>
      <c r="C159" s="224">
        <v>1.3328487</v>
      </c>
      <c r="D159" s="224">
        <v>206.36</v>
      </c>
      <c r="E159" s="224">
        <v>63.8046875</v>
      </c>
      <c r="F159" s="224">
        <v>459.8</v>
      </c>
      <c r="G159" s="224">
        <v>2.1659999999999999</v>
      </c>
      <c r="H159" s="224">
        <v>0.45624999999999999</v>
      </c>
      <c r="I159" s="224">
        <v>4</v>
      </c>
      <c r="J159" s="226">
        <v>742.09903384999996</v>
      </c>
    </row>
    <row r="160" spans="1:10" ht="15.75" customHeight="1" x14ac:dyDescent="0.25">
      <c r="A160" s="227">
        <v>45988</v>
      </c>
      <c r="B160" s="228">
        <v>4.1792477999999997</v>
      </c>
      <c r="C160" s="228">
        <v>1.3328487</v>
      </c>
      <c r="D160" s="228">
        <v>206.36</v>
      </c>
      <c r="E160" s="228">
        <v>63.830209375000003</v>
      </c>
      <c r="F160" s="228">
        <v>460</v>
      </c>
      <c r="G160" s="228">
        <v>2.1659999999999999</v>
      </c>
      <c r="H160" s="228">
        <v>0.5</v>
      </c>
      <c r="I160" s="228">
        <v>4</v>
      </c>
      <c r="J160" s="230">
        <v>742.36830587500003</v>
      </c>
    </row>
    <row r="161" spans="1:10" ht="15.75" customHeight="1" x14ac:dyDescent="0.25">
      <c r="A161" s="223">
        <v>45991</v>
      </c>
      <c r="B161" s="224">
        <v>4.1792477999999997</v>
      </c>
      <c r="C161" s="224">
        <v>1.3328487</v>
      </c>
      <c r="D161" s="224">
        <v>206.36</v>
      </c>
      <c r="E161" s="224">
        <v>63.830209375000003</v>
      </c>
      <c r="F161" s="224">
        <v>459.8</v>
      </c>
      <c r="G161" s="224">
        <v>2.1659999999999999</v>
      </c>
      <c r="H161" s="224">
        <v>0.5</v>
      </c>
      <c r="I161" s="224">
        <v>4.2</v>
      </c>
      <c r="J161" s="226">
        <v>742.36830587500003</v>
      </c>
    </row>
    <row r="162" spans="1:10" ht="15.75" customHeight="1" x14ac:dyDescent="0.25">
      <c r="A162" s="227">
        <v>45993</v>
      </c>
      <c r="B162" s="228">
        <v>4.3882101899999997</v>
      </c>
      <c r="C162" s="228">
        <v>1.3328487</v>
      </c>
      <c r="D162" s="228">
        <v>206.36</v>
      </c>
      <c r="E162" s="228">
        <v>63.830209375000003</v>
      </c>
      <c r="F162" s="228">
        <v>460</v>
      </c>
      <c r="G162" s="228">
        <v>2.16</v>
      </c>
      <c r="H162" s="228">
        <v>0.5</v>
      </c>
      <c r="I162" s="228">
        <v>4.2</v>
      </c>
      <c r="J162" s="230">
        <v>742.771268265</v>
      </c>
    </row>
    <row r="163" spans="1:10" ht="15.75" customHeight="1" x14ac:dyDescent="0.25">
      <c r="A163" s="223">
        <v>45995</v>
      </c>
      <c r="B163" s="224">
        <v>4.3882101899999997</v>
      </c>
      <c r="C163" s="224">
        <v>1.3328487</v>
      </c>
      <c r="D163" s="224">
        <v>206.36</v>
      </c>
      <c r="E163" s="224">
        <v>63.830209375000003</v>
      </c>
      <c r="F163" s="224">
        <v>460</v>
      </c>
      <c r="G163" s="224">
        <v>2.16</v>
      </c>
      <c r="H163" s="224">
        <v>0.5</v>
      </c>
      <c r="I163" s="224">
        <v>4.2</v>
      </c>
      <c r="J163" s="226">
        <v>742.771268265</v>
      </c>
    </row>
    <row r="164" spans="1:10" ht="15.75" customHeight="1" x14ac:dyDescent="0.25">
      <c r="A164" s="227">
        <v>45998</v>
      </c>
      <c r="B164" s="228">
        <v>4.3882101899999997</v>
      </c>
      <c r="C164" s="228">
        <v>1.3328487</v>
      </c>
      <c r="D164" s="228">
        <v>206.36</v>
      </c>
      <c r="E164" s="228">
        <v>63.830209375000003</v>
      </c>
      <c r="F164" s="228">
        <v>459.8</v>
      </c>
      <c r="G164" s="228">
        <v>2.16</v>
      </c>
      <c r="H164" s="228">
        <v>0.5</v>
      </c>
      <c r="I164" s="228">
        <v>4.2</v>
      </c>
      <c r="J164" s="230">
        <v>742.57126826499996</v>
      </c>
    </row>
    <row r="165" spans="1:10" ht="15.75" customHeight="1" x14ac:dyDescent="0.25">
      <c r="A165" s="223">
        <v>46000</v>
      </c>
      <c r="B165" s="224">
        <v>4.4021410159999999</v>
      </c>
      <c r="C165" s="224">
        <v>1.3328487</v>
      </c>
      <c r="D165" s="224">
        <v>206.36</v>
      </c>
      <c r="E165" s="224">
        <v>63.830209375000003</v>
      </c>
      <c r="F165" s="224">
        <v>459.8</v>
      </c>
      <c r="G165" s="224">
        <v>2.16</v>
      </c>
      <c r="H165" s="224">
        <v>0.54374999999999996</v>
      </c>
      <c r="I165" s="224">
        <v>4.2</v>
      </c>
      <c r="J165" s="226">
        <v>742.62894909099998</v>
      </c>
    </row>
    <row r="166" spans="1:10" ht="15.75" customHeight="1" x14ac:dyDescent="0.25">
      <c r="A166" s="227">
        <v>46002</v>
      </c>
      <c r="B166" s="228">
        <v>4.4021410159999999</v>
      </c>
      <c r="C166" s="228">
        <v>1.3328487</v>
      </c>
      <c r="D166" s="228">
        <v>206.36</v>
      </c>
      <c r="E166" s="228">
        <v>63.830209375000003</v>
      </c>
      <c r="F166" s="228">
        <v>460</v>
      </c>
      <c r="G166" s="228">
        <v>2.16</v>
      </c>
      <c r="H166" s="228">
        <v>0.54374999999999996</v>
      </c>
      <c r="I166" s="228">
        <v>4.2</v>
      </c>
      <c r="J166" s="230">
        <v>742.82894909100003</v>
      </c>
    </row>
    <row r="167" spans="1:10" ht="15.75" customHeight="1" x14ac:dyDescent="0.25">
      <c r="A167" s="223">
        <v>46005</v>
      </c>
      <c r="B167" s="224">
        <v>4.4439334940000004</v>
      </c>
      <c r="C167" s="224">
        <v>1.3328487</v>
      </c>
      <c r="D167" s="224">
        <v>206.36</v>
      </c>
      <c r="E167" s="224">
        <v>63.830209375000003</v>
      </c>
      <c r="F167" s="224">
        <v>460</v>
      </c>
      <c r="G167" s="224">
        <v>2.16</v>
      </c>
      <c r="H167" s="224">
        <v>0.54374999999999996</v>
      </c>
      <c r="I167" s="224">
        <v>4.2</v>
      </c>
      <c r="J167" s="226">
        <v>742.87074156899996</v>
      </c>
    </row>
    <row r="168" spans="1:10" ht="15.75" customHeight="1" x14ac:dyDescent="0.25">
      <c r="A168" s="227">
        <v>46007</v>
      </c>
      <c r="B168" s="228">
        <v>4.4439334940000004</v>
      </c>
      <c r="C168" s="228">
        <v>1.3328487</v>
      </c>
      <c r="D168" s="228">
        <v>206.36</v>
      </c>
      <c r="E168" s="228">
        <v>63.830209375000003</v>
      </c>
      <c r="F168" s="228">
        <v>459.8</v>
      </c>
      <c r="G168" s="228">
        <v>2.16</v>
      </c>
      <c r="H168" s="228">
        <v>0.54374999999999996</v>
      </c>
      <c r="I168" s="228">
        <v>4.2</v>
      </c>
      <c r="J168" s="230">
        <v>742.67074156900003</v>
      </c>
    </row>
    <row r="169" spans="1:10" ht="15.75" customHeight="1" x14ac:dyDescent="0.25">
      <c r="A169" s="223">
        <v>46009</v>
      </c>
      <c r="B169" s="224">
        <v>4.4439334940000004</v>
      </c>
      <c r="C169" s="224">
        <v>1.3328487</v>
      </c>
      <c r="D169" s="224">
        <v>206.36</v>
      </c>
      <c r="E169" s="224">
        <v>63.830209375000003</v>
      </c>
      <c r="F169" s="224">
        <v>460</v>
      </c>
      <c r="G169" s="224">
        <v>2.16</v>
      </c>
      <c r="H169" s="224">
        <v>0.5</v>
      </c>
      <c r="I169" s="224">
        <v>4.2</v>
      </c>
      <c r="J169" s="226">
        <v>742.82699156900003</v>
      </c>
    </row>
    <row r="170" spans="1:10" ht="15.75" customHeight="1" x14ac:dyDescent="0.25">
      <c r="A170" s="227">
        <v>46012</v>
      </c>
      <c r="B170" s="228">
        <v>4.4439334940000004</v>
      </c>
      <c r="C170" s="228">
        <v>1.3328487</v>
      </c>
      <c r="D170" s="228">
        <v>206.36</v>
      </c>
      <c r="E170" s="228">
        <v>63.830209375000003</v>
      </c>
      <c r="F170" s="228">
        <v>460</v>
      </c>
      <c r="G170" s="228">
        <v>2.16</v>
      </c>
      <c r="H170" s="228">
        <v>0.5</v>
      </c>
      <c r="I170" s="228">
        <v>4.2</v>
      </c>
      <c r="J170" s="230">
        <v>742.82699156900003</v>
      </c>
    </row>
    <row r="171" spans="1:10" ht="15.75" customHeight="1" x14ac:dyDescent="0.25">
      <c r="A171" s="223">
        <v>46014</v>
      </c>
      <c r="B171" s="224">
        <v>4.5971725799999996</v>
      </c>
      <c r="C171" s="224">
        <v>1.3328487</v>
      </c>
      <c r="D171" s="224">
        <v>206.36</v>
      </c>
      <c r="E171" s="224">
        <v>63.830209375000003</v>
      </c>
      <c r="F171" s="224">
        <v>460</v>
      </c>
      <c r="G171" s="224">
        <v>2.16</v>
      </c>
      <c r="H171" s="224">
        <v>0.5</v>
      </c>
      <c r="I171" s="224">
        <v>4.2</v>
      </c>
      <c r="J171" s="226">
        <v>742.98023065500001</v>
      </c>
    </row>
    <row r="172" spans="1:10" ht="15.75" customHeight="1" x14ac:dyDescent="0.25">
      <c r="A172" s="227">
        <v>46016</v>
      </c>
      <c r="B172" s="228">
        <v>4.5971725799999996</v>
      </c>
      <c r="C172" s="228">
        <v>1.3328487</v>
      </c>
      <c r="D172" s="228">
        <v>206.36</v>
      </c>
      <c r="E172" s="228">
        <v>63.830209375000003</v>
      </c>
      <c r="F172" s="228">
        <v>460</v>
      </c>
      <c r="G172" s="228">
        <v>2.16</v>
      </c>
      <c r="H172" s="228">
        <v>0.5</v>
      </c>
      <c r="I172" s="228">
        <v>4.2</v>
      </c>
      <c r="J172" s="230">
        <v>742.98023065500001</v>
      </c>
    </row>
    <row r="173" spans="1:10" ht="15.75" customHeight="1" x14ac:dyDescent="0.25">
      <c r="A173" s="223">
        <v>46019</v>
      </c>
      <c r="B173" s="224">
        <v>4.5971725799999996</v>
      </c>
      <c r="C173" s="224">
        <v>1.3328487</v>
      </c>
      <c r="D173" s="224">
        <v>206.36</v>
      </c>
      <c r="E173" s="224">
        <v>63.830209375000003</v>
      </c>
      <c r="F173" s="224">
        <v>460</v>
      </c>
      <c r="G173" s="224">
        <v>2.16</v>
      </c>
      <c r="H173" s="224">
        <v>0.5</v>
      </c>
      <c r="I173" s="224">
        <v>4.2</v>
      </c>
      <c r="J173" s="226">
        <v>742.98023065500001</v>
      </c>
    </row>
    <row r="174" spans="1:10" ht="15.75" customHeight="1" x14ac:dyDescent="0.25">
      <c r="A174" s="227">
        <v>46021</v>
      </c>
      <c r="B174" s="228">
        <v>4.5971725799999996</v>
      </c>
      <c r="C174" s="228">
        <v>1.3328487</v>
      </c>
      <c r="D174" s="228">
        <v>207.834</v>
      </c>
      <c r="E174" s="228">
        <v>63.830209375000003</v>
      </c>
      <c r="F174" s="228">
        <v>460</v>
      </c>
      <c r="G174" s="228">
        <v>2.16</v>
      </c>
      <c r="H174" s="228">
        <v>0.5</v>
      </c>
      <c r="I174" s="228">
        <v>4.2</v>
      </c>
      <c r="J174" s="230">
        <v>744.45423065499995</v>
      </c>
    </row>
    <row r="175" spans="1:10" ht="15.75" customHeight="1" x14ac:dyDescent="0.25">
      <c r="A175" s="223">
        <v>46026</v>
      </c>
      <c r="B175" s="224">
        <v>4.5971725799999996</v>
      </c>
      <c r="C175" s="224">
        <v>1.3328487</v>
      </c>
      <c r="D175" s="224">
        <v>207.834</v>
      </c>
      <c r="E175" s="224">
        <v>63.830209375000003</v>
      </c>
      <c r="F175" s="224">
        <v>460</v>
      </c>
      <c r="G175" s="224">
        <v>2.16</v>
      </c>
      <c r="H175" s="224">
        <v>0.5</v>
      </c>
      <c r="I175" s="224">
        <v>4.2</v>
      </c>
      <c r="J175" s="226">
        <v>744.45423065499995</v>
      </c>
    </row>
    <row r="176" spans="1:10" ht="15.75" customHeight="1" x14ac:dyDescent="0.25">
      <c r="A176" s="227">
        <v>46028</v>
      </c>
      <c r="B176" s="228">
        <v>4.5971725799999996</v>
      </c>
      <c r="C176" s="228">
        <v>1.3328487</v>
      </c>
      <c r="D176" s="228">
        <v>207.834</v>
      </c>
      <c r="E176" s="228">
        <v>63.830209375000003</v>
      </c>
      <c r="F176" s="228">
        <v>460</v>
      </c>
      <c r="G176" s="228">
        <v>2.16</v>
      </c>
      <c r="H176" s="228">
        <v>0.5</v>
      </c>
      <c r="I176" s="228">
        <v>4.2</v>
      </c>
      <c r="J176" s="230">
        <v>744.45423065499995</v>
      </c>
    </row>
    <row r="177" spans="1:10" ht="15.75" customHeight="1" x14ac:dyDescent="0.25">
      <c r="A177" s="223">
        <v>46030</v>
      </c>
      <c r="B177" s="224">
        <v>4.5971725799999996</v>
      </c>
      <c r="C177" s="224">
        <v>1.3328487</v>
      </c>
      <c r="D177" s="224">
        <v>207.834</v>
      </c>
      <c r="E177" s="224">
        <v>63.830209375000003</v>
      </c>
      <c r="F177" s="224">
        <v>459.8</v>
      </c>
      <c r="G177" s="224">
        <v>2.16</v>
      </c>
      <c r="H177" s="224">
        <v>0.5</v>
      </c>
      <c r="I177" s="224">
        <v>4.2</v>
      </c>
      <c r="J177" s="226">
        <v>744.25423065500001</v>
      </c>
    </row>
    <row r="178" spans="1:10" ht="15.75" customHeight="1" x14ac:dyDescent="0.25">
      <c r="A178" s="227">
        <v>46033</v>
      </c>
      <c r="B178" s="228">
        <v>4.5971725799999996</v>
      </c>
      <c r="C178" s="228">
        <v>1.3328487</v>
      </c>
      <c r="D178" s="228">
        <v>207.834</v>
      </c>
      <c r="E178" s="228">
        <v>63.830209375000003</v>
      </c>
      <c r="F178" s="228">
        <v>459.8</v>
      </c>
      <c r="G178" s="228">
        <v>2.16</v>
      </c>
      <c r="H178" s="228">
        <v>0.5</v>
      </c>
      <c r="I178" s="228">
        <v>4.2</v>
      </c>
      <c r="J178" s="230">
        <v>744.25423065500001</v>
      </c>
    </row>
    <row r="179" spans="1:10" ht="15.75" customHeight="1" x14ac:dyDescent="0.25">
      <c r="A179" s="223">
        <v>46035</v>
      </c>
      <c r="B179" s="224">
        <v>4.5971725799999996</v>
      </c>
      <c r="C179" s="224">
        <v>1.3328487</v>
      </c>
      <c r="D179" s="224">
        <v>206.36</v>
      </c>
      <c r="E179" s="224">
        <v>63.830209375000003</v>
      </c>
      <c r="F179" s="224">
        <v>459.4</v>
      </c>
      <c r="G179" s="224">
        <v>2.16</v>
      </c>
      <c r="H179" s="224">
        <v>0.5</v>
      </c>
      <c r="I179" s="224">
        <v>4.2</v>
      </c>
      <c r="J179" s="226">
        <v>742.38023065499999</v>
      </c>
    </row>
    <row r="180" spans="1:10" ht="15.75" customHeight="1" x14ac:dyDescent="0.25">
      <c r="A180" s="227">
        <v>46037</v>
      </c>
      <c r="B180" s="228">
        <v>4.6111034059999998</v>
      </c>
      <c r="C180" s="228">
        <v>1.3328487</v>
      </c>
      <c r="D180" s="228">
        <v>206.36</v>
      </c>
      <c r="E180" s="228">
        <v>63.830209375000003</v>
      </c>
      <c r="F180" s="228">
        <v>459.4</v>
      </c>
      <c r="G180" s="228">
        <v>2.16</v>
      </c>
      <c r="H180" s="228">
        <v>0.5</v>
      </c>
      <c r="I180" s="228">
        <v>4.2</v>
      </c>
      <c r="J180" s="230">
        <v>742.39416148099997</v>
      </c>
    </row>
    <row r="181" spans="1:10" ht="15.75" customHeight="1" x14ac:dyDescent="0.25">
      <c r="A181" s="223">
        <v>46040</v>
      </c>
      <c r="B181" s="224">
        <v>4.8061349699999996</v>
      </c>
      <c r="C181" s="224">
        <v>1.3328487</v>
      </c>
      <c r="D181" s="224">
        <v>206.36</v>
      </c>
      <c r="E181" s="224">
        <v>63.830209375000003</v>
      </c>
      <c r="F181" s="224">
        <v>459.4</v>
      </c>
      <c r="G181" s="224">
        <v>2.16</v>
      </c>
      <c r="H181" s="224">
        <v>0.5</v>
      </c>
      <c r="I181" s="224">
        <v>4.2</v>
      </c>
      <c r="J181" s="226">
        <v>742.589193045</v>
      </c>
    </row>
    <row r="182" spans="1:10" ht="15.75" customHeight="1" x14ac:dyDescent="0.25">
      <c r="A182" s="227">
        <v>46042</v>
      </c>
      <c r="B182" s="228">
        <v>4.8061349699999996</v>
      </c>
      <c r="C182" s="228">
        <v>1.3328487</v>
      </c>
      <c r="D182" s="228">
        <v>206.36</v>
      </c>
      <c r="E182" s="228">
        <v>63.830209375000003</v>
      </c>
      <c r="F182" s="228">
        <v>459.2</v>
      </c>
      <c r="G182" s="228">
        <v>2.16</v>
      </c>
      <c r="H182" s="228">
        <v>0.5</v>
      </c>
      <c r="I182" s="228">
        <v>4.2</v>
      </c>
      <c r="J182" s="230">
        <v>742.38919304499996</v>
      </c>
    </row>
    <row r="183" spans="1:10" ht="15.75" customHeight="1" x14ac:dyDescent="0.25">
      <c r="A183" s="223">
        <v>46044</v>
      </c>
      <c r="B183" s="224">
        <v>4.8061349699999996</v>
      </c>
      <c r="C183" s="224">
        <v>1.3328487</v>
      </c>
      <c r="D183" s="224">
        <v>206.36</v>
      </c>
      <c r="E183" s="224">
        <v>63.830209375000003</v>
      </c>
      <c r="F183" s="224">
        <v>459.4</v>
      </c>
      <c r="G183" s="224">
        <v>2.16</v>
      </c>
      <c r="H183" s="224">
        <v>0.5</v>
      </c>
      <c r="I183" s="224">
        <v>4.2</v>
      </c>
      <c r="J183" s="226">
        <v>742.589193045</v>
      </c>
    </row>
    <row r="184" spans="1:10" ht="15.75" customHeight="1" x14ac:dyDescent="0.25">
      <c r="A184" s="227">
        <v>46047</v>
      </c>
      <c r="B184" s="228">
        <v>4.8061349699999996</v>
      </c>
      <c r="C184" s="228">
        <v>1.3328487</v>
      </c>
      <c r="D184" s="228">
        <v>206.36</v>
      </c>
      <c r="E184" s="228">
        <v>63.830209375000003</v>
      </c>
      <c r="F184" s="228">
        <v>459.4</v>
      </c>
      <c r="G184" s="228">
        <v>2.16</v>
      </c>
      <c r="H184" s="228">
        <v>0.5</v>
      </c>
      <c r="I184" s="228">
        <v>4.2</v>
      </c>
      <c r="J184" s="230">
        <v>742.589193045</v>
      </c>
    </row>
    <row r="185" spans="1:10" ht="15.75" customHeight="1" x14ac:dyDescent="0.25">
      <c r="A185" s="223">
        <v>46049</v>
      </c>
      <c r="B185" s="224">
        <v>4.8061349699999996</v>
      </c>
      <c r="C185" s="224">
        <v>1.3328487</v>
      </c>
      <c r="D185" s="224">
        <v>206.36</v>
      </c>
      <c r="E185" s="224">
        <v>63.830209375000003</v>
      </c>
      <c r="F185" s="224">
        <v>459</v>
      </c>
      <c r="G185" s="224">
        <v>2.16</v>
      </c>
      <c r="H185" s="224">
        <v>0.5</v>
      </c>
      <c r="I185" s="224">
        <v>4.2</v>
      </c>
      <c r="J185" s="226">
        <v>742.18919304500002</v>
      </c>
    </row>
    <row r="186" spans="1:10" ht="15.75" customHeight="1" x14ac:dyDescent="0.25">
      <c r="A186" s="227">
        <v>46051</v>
      </c>
      <c r="B186" s="228">
        <v>4.8061349699999996</v>
      </c>
      <c r="C186" s="228">
        <v>1.3328487</v>
      </c>
      <c r="D186" s="228">
        <v>206.36</v>
      </c>
      <c r="E186" s="228">
        <v>63.830209375000003</v>
      </c>
      <c r="F186" s="228">
        <v>459</v>
      </c>
      <c r="G186" s="228">
        <v>2.16</v>
      </c>
      <c r="H186" s="228">
        <v>0.5</v>
      </c>
      <c r="I186" s="228">
        <v>4.2</v>
      </c>
      <c r="J186" s="230">
        <v>742.18919304500002</v>
      </c>
    </row>
    <row r="187" spans="1:10" ht="15.75" customHeight="1" x14ac:dyDescent="0.25">
      <c r="A187" s="223">
        <v>46054</v>
      </c>
      <c r="B187" s="224">
        <v>4.8061349699999996</v>
      </c>
      <c r="C187" s="224">
        <v>1.3328487</v>
      </c>
      <c r="D187" s="224">
        <v>206.36</v>
      </c>
      <c r="E187" s="224">
        <v>63.830209375000003</v>
      </c>
      <c r="F187" s="224">
        <v>459</v>
      </c>
      <c r="G187" s="224">
        <v>2.16</v>
      </c>
      <c r="H187" s="224">
        <v>0.5</v>
      </c>
      <c r="I187" s="224">
        <v>4.2</v>
      </c>
      <c r="J187" s="226">
        <v>742.18919304500002</v>
      </c>
    </row>
    <row r="188" spans="1:10" ht="15.75" customHeight="1" x14ac:dyDescent="0.25">
      <c r="A188" s="227">
        <v>46056</v>
      </c>
      <c r="B188" s="228">
        <v>4.8061349699999996</v>
      </c>
      <c r="C188" s="228">
        <v>1.3328487</v>
      </c>
      <c r="D188" s="228">
        <v>206.36</v>
      </c>
      <c r="E188" s="228">
        <v>63.830209375000003</v>
      </c>
      <c r="F188" s="228">
        <v>458</v>
      </c>
      <c r="G188" s="228">
        <v>2.16</v>
      </c>
      <c r="H188" s="228">
        <v>0.5</v>
      </c>
      <c r="I188" s="228">
        <v>4.2</v>
      </c>
      <c r="J188" s="230">
        <v>741.18919304500002</v>
      </c>
    </row>
    <row r="189" spans="1:10" ht="15.75" customHeight="1" x14ac:dyDescent="0.25">
      <c r="A189" s="223">
        <v>46058</v>
      </c>
      <c r="B189" s="224">
        <v>4.8061349699999996</v>
      </c>
      <c r="C189" s="224">
        <v>1.3328487</v>
      </c>
      <c r="D189" s="224">
        <v>206.36</v>
      </c>
      <c r="E189" s="224">
        <v>63.830209375000003</v>
      </c>
      <c r="F189" s="224">
        <v>457.8</v>
      </c>
      <c r="G189" s="224">
        <v>2.16</v>
      </c>
      <c r="H189" s="224">
        <v>0.5</v>
      </c>
      <c r="I189" s="224">
        <v>4.2</v>
      </c>
      <c r="J189" s="226">
        <v>740.98919304499998</v>
      </c>
    </row>
    <row r="190" spans="1:10" ht="15.75" customHeight="1" x14ac:dyDescent="0.25">
      <c r="A190" s="227">
        <v>46061</v>
      </c>
      <c r="B190" s="228">
        <v>4.8061349699999996</v>
      </c>
      <c r="C190" s="228">
        <v>1.3328487</v>
      </c>
      <c r="D190" s="228">
        <v>206.36</v>
      </c>
      <c r="E190" s="228">
        <v>63.830209375000003</v>
      </c>
      <c r="F190" s="228">
        <v>457.8</v>
      </c>
      <c r="G190" s="228">
        <v>2.16</v>
      </c>
      <c r="H190" s="228">
        <v>0.5</v>
      </c>
      <c r="I190" s="228">
        <v>4.2</v>
      </c>
      <c r="J190" s="230">
        <v>740.98919304499998</v>
      </c>
    </row>
    <row r="191" spans="1:10" ht="15.75" customHeight="1" x14ac:dyDescent="0.25">
      <c r="A191" s="223">
        <v>46063</v>
      </c>
      <c r="B191" s="224">
        <v>4.8061349699999996</v>
      </c>
      <c r="C191" s="224">
        <v>1.3328487</v>
      </c>
      <c r="D191" s="224">
        <v>206.36</v>
      </c>
      <c r="E191" s="224">
        <v>63.830209375000003</v>
      </c>
      <c r="F191" s="224">
        <v>457</v>
      </c>
      <c r="G191" s="224">
        <v>2.16</v>
      </c>
      <c r="H191" s="224">
        <v>0.5</v>
      </c>
      <c r="I191" s="224">
        <v>4.2</v>
      </c>
      <c r="J191" s="226">
        <v>740.18919304500002</v>
      </c>
    </row>
    <row r="192" spans="1:10" ht="15.75" customHeight="1" x14ac:dyDescent="0.25">
      <c r="A192" s="227">
        <v>46065</v>
      </c>
      <c r="B192" s="228">
        <v>4.8061349699999996</v>
      </c>
      <c r="C192" s="228">
        <v>1.3328487</v>
      </c>
      <c r="D192" s="228">
        <v>206.36</v>
      </c>
      <c r="E192" s="228">
        <v>63.830209375000003</v>
      </c>
      <c r="F192" s="228">
        <v>453.8</v>
      </c>
      <c r="G192" s="228">
        <v>2.16</v>
      </c>
      <c r="H192" s="228">
        <v>0.5</v>
      </c>
      <c r="I192" s="228">
        <v>4.2</v>
      </c>
      <c r="J192" s="230">
        <v>736.98919304499998</v>
      </c>
    </row>
    <row r="193" spans="1:10" ht="15.75" customHeight="1" x14ac:dyDescent="0.25">
      <c r="A193" s="223">
        <v>46068</v>
      </c>
      <c r="B193" s="224">
        <v>4.8061349699999996</v>
      </c>
      <c r="C193" s="224">
        <v>1.3328487</v>
      </c>
      <c r="D193" s="224">
        <v>206.36</v>
      </c>
      <c r="E193" s="224">
        <v>63.830209375000003</v>
      </c>
      <c r="F193" s="224">
        <v>453.8</v>
      </c>
      <c r="G193" s="224">
        <v>2.16</v>
      </c>
      <c r="H193" s="224">
        <v>0.5</v>
      </c>
      <c r="I193" s="224">
        <v>4.2</v>
      </c>
      <c r="J193" s="226">
        <v>736.98919304499998</v>
      </c>
    </row>
    <row r="194" spans="1:10" ht="15.75" customHeight="1" x14ac:dyDescent="0.25">
      <c r="A194" s="227">
        <v>46070</v>
      </c>
      <c r="B194" s="228">
        <v>4.8061349699999996</v>
      </c>
      <c r="C194" s="228">
        <v>1.3328487</v>
      </c>
      <c r="D194" s="228">
        <v>206.36</v>
      </c>
      <c r="E194" s="228">
        <v>63.855731249999998</v>
      </c>
      <c r="F194" s="228">
        <v>452</v>
      </c>
      <c r="G194" s="228">
        <v>2.16</v>
      </c>
      <c r="H194" s="228">
        <v>0.5</v>
      </c>
      <c r="I194" s="228">
        <v>4.2</v>
      </c>
      <c r="J194" s="230">
        <v>735.21471492000001</v>
      </c>
    </row>
    <row r="195" spans="1:10" ht="15.75" customHeight="1" x14ac:dyDescent="0.25">
      <c r="A195" s="223">
        <v>46072</v>
      </c>
      <c r="B195" s="224">
        <v>4.8061349699999996</v>
      </c>
      <c r="C195" s="224">
        <v>1.3328487</v>
      </c>
      <c r="D195" s="224">
        <v>206.36</v>
      </c>
      <c r="E195" s="224">
        <v>63.830209375000003</v>
      </c>
      <c r="F195" s="224">
        <v>450</v>
      </c>
      <c r="G195" s="224">
        <v>2.16</v>
      </c>
      <c r="H195" s="224">
        <v>0.5</v>
      </c>
      <c r="I195" s="224">
        <v>4.2</v>
      </c>
      <c r="J195" s="226">
        <v>733.18919304500002</v>
      </c>
    </row>
    <row r="196" spans="1:10" ht="15.75" customHeight="1" x14ac:dyDescent="0.25">
      <c r="A196" s="227">
        <v>46075</v>
      </c>
      <c r="B196" s="228">
        <v>4.8061349699999996</v>
      </c>
      <c r="C196" s="228">
        <v>1.3328487</v>
      </c>
      <c r="D196" s="228">
        <v>206.36</v>
      </c>
      <c r="E196" s="228">
        <v>63.830209375000003</v>
      </c>
      <c r="F196" s="228">
        <v>450</v>
      </c>
      <c r="G196" s="228">
        <v>2.16</v>
      </c>
      <c r="H196" s="228">
        <v>0.5</v>
      </c>
      <c r="I196" s="228">
        <v>4.2</v>
      </c>
      <c r="J196" s="230">
        <v>733.18919304500002</v>
      </c>
    </row>
    <row r="197" spans="1:10" ht="15.75" customHeight="1" x14ac:dyDescent="0.25">
      <c r="A197" s="223">
        <v>46077</v>
      </c>
      <c r="B197" s="224">
        <v>4.8061349699999996</v>
      </c>
      <c r="C197" s="224">
        <v>1.3328487</v>
      </c>
      <c r="D197" s="224">
        <v>206.36</v>
      </c>
      <c r="E197" s="224">
        <v>63.830209375000003</v>
      </c>
      <c r="F197" s="224">
        <v>449.8</v>
      </c>
      <c r="G197" s="224">
        <v>2.16</v>
      </c>
      <c r="H197" s="224">
        <v>0.5</v>
      </c>
      <c r="I197" s="224">
        <v>4.2</v>
      </c>
      <c r="J197" s="226">
        <v>732.98919304499998</v>
      </c>
    </row>
    <row r="198" spans="1:10" ht="15.75" customHeight="1" x14ac:dyDescent="0.25">
      <c r="A198" s="227">
        <v>46079</v>
      </c>
      <c r="B198" s="228">
        <v>4.8061349699999996</v>
      </c>
      <c r="C198" s="228">
        <v>1.3328487</v>
      </c>
      <c r="D198" s="228">
        <v>206.36</v>
      </c>
      <c r="E198" s="228">
        <v>63.855731249999998</v>
      </c>
      <c r="F198" s="228">
        <v>449.8</v>
      </c>
      <c r="G198" s="228">
        <v>2.16</v>
      </c>
      <c r="H198" s="228">
        <v>0.5</v>
      </c>
      <c r="I198" s="228">
        <v>4.2</v>
      </c>
      <c r="J198" s="230">
        <v>733.01471491999996</v>
      </c>
    </row>
    <row r="199" spans="1:10" ht="15.75" customHeight="1" x14ac:dyDescent="0.25">
      <c r="A199" s="223">
        <v>46082</v>
      </c>
      <c r="B199" s="224">
        <v>4.8061349699999996</v>
      </c>
      <c r="C199" s="224">
        <v>1.3328487</v>
      </c>
      <c r="D199" s="224">
        <v>206.36</v>
      </c>
      <c r="E199" s="224">
        <v>63.855731249999998</v>
      </c>
      <c r="F199" s="224">
        <v>449.4</v>
      </c>
      <c r="G199" s="224">
        <v>2.16</v>
      </c>
      <c r="H199" s="224">
        <v>0.5</v>
      </c>
      <c r="I199" s="224">
        <v>4.2</v>
      </c>
      <c r="J199" s="226">
        <v>732.61471491999998</v>
      </c>
    </row>
    <row r="200" spans="1:10" ht="15.75" customHeight="1" x14ac:dyDescent="0.25">
      <c r="A200" s="227">
        <v>46084</v>
      </c>
      <c r="B200" s="228">
        <v>4.8061349699999996</v>
      </c>
      <c r="C200" s="228">
        <v>1.3328487</v>
      </c>
      <c r="D200" s="228">
        <v>206.36</v>
      </c>
      <c r="E200" s="228">
        <v>63.855731249999998</v>
      </c>
      <c r="F200" s="228">
        <v>449.4</v>
      </c>
      <c r="G200" s="228">
        <v>2.16</v>
      </c>
      <c r="H200" s="228">
        <v>0.5</v>
      </c>
      <c r="I200" s="228">
        <v>4.2</v>
      </c>
      <c r="J200" s="230">
        <v>732.61471491999998</v>
      </c>
    </row>
    <row r="201" spans="1:10" ht="15.75" customHeight="1" x14ac:dyDescent="0.25">
      <c r="A201" s="223">
        <v>46086</v>
      </c>
      <c r="B201" s="224">
        <v>4.8061349699999996</v>
      </c>
      <c r="C201" s="224">
        <v>1.3328487</v>
      </c>
      <c r="D201" s="224">
        <v>206.0652</v>
      </c>
      <c r="E201" s="224">
        <v>63.855731249999998</v>
      </c>
      <c r="F201" s="224">
        <v>448</v>
      </c>
      <c r="G201" s="224">
        <v>2.16</v>
      </c>
      <c r="H201" s="224">
        <v>0.5</v>
      </c>
      <c r="I201" s="224">
        <v>4.2</v>
      </c>
      <c r="J201" s="226">
        <v>730.91991492</v>
      </c>
    </row>
    <row r="202" spans="1:10" ht="15.75" customHeight="1" x14ac:dyDescent="0.25">
      <c r="A202" s="227">
        <v>46089</v>
      </c>
      <c r="B202" s="228">
        <v>4.8061349699999996</v>
      </c>
      <c r="C202" s="228">
        <v>1.3328487</v>
      </c>
      <c r="D202" s="228">
        <v>206.21260000000001</v>
      </c>
      <c r="E202" s="228">
        <v>63.855731249999998</v>
      </c>
      <c r="F202" s="228">
        <v>448</v>
      </c>
      <c r="G202" s="228">
        <v>2.16</v>
      </c>
      <c r="H202" s="228">
        <v>0.5</v>
      </c>
      <c r="I202" s="228">
        <v>4.2</v>
      </c>
      <c r="J202" s="230">
        <v>731.06731491999994</v>
      </c>
    </row>
    <row r="203" spans="1:10" ht="15.75" customHeight="1" x14ac:dyDescent="0.25">
      <c r="A203" s="223">
        <v>46091</v>
      </c>
      <c r="B203" s="224">
        <v>4.8061349699999996</v>
      </c>
      <c r="C203" s="224">
        <v>1.3328487</v>
      </c>
      <c r="D203" s="224">
        <v>206.21260000000001</v>
      </c>
      <c r="E203" s="224">
        <v>63.855731249999998</v>
      </c>
      <c r="F203" s="224">
        <v>448</v>
      </c>
      <c r="G203" s="224">
        <v>2.16</v>
      </c>
      <c r="H203" s="224">
        <v>0.5</v>
      </c>
      <c r="I203" s="224">
        <v>4.2</v>
      </c>
      <c r="J203" s="226">
        <v>731.06731491999994</v>
      </c>
    </row>
    <row r="204" spans="1:10" ht="15.75" customHeight="1" x14ac:dyDescent="0.25">
      <c r="A204" s="227">
        <v>46093</v>
      </c>
      <c r="B204" s="228">
        <v>4.8061349699999996</v>
      </c>
      <c r="C204" s="228">
        <v>1.3328487</v>
      </c>
      <c r="D204" s="228">
        <v>206.21260000000001</v>
      </c>
      <c r="E204" s="228">
        <v>63.855731249999998</v>
      </c>
      <c r="F204" s="228">
        <v>448</v>
      </c>
      <c r="G204" s="228">
        <v>2.16</v>
      </c>
      <c r="H204" s="228">
        <v>0.5</v>
      </c>
      <c r="I204" s="228">
        <v>4.2</v>
      </c>
      <c r="J204" s="230">
        <v>731.06731491999994</v>
      </c>
    </row>
    <row r="205" spans="1:10" ht="15.75" customHeight="1" x14ac:dyDescent="0.25">
      <c r="A205" s="223">
        <v>46096</v>
      </c>
      <c r="B205" s="224">
        <v>4.8061349699999996</v>
      </c>
      <c r="C205" s="224">
        <v>1.3328487</v>
      </c>
      <c r="D205" s="224">
        <v>206.21260000000001</v>
      </c>
      <c r="E205" s="224">
        <v>63.855731249999998</v>
      </c>
      <c r="F205" s="224">
        <v>447.6</v>
      </c>
      <c r="G205" s="224">
        <v>2.16</v>
      </c>
      <c r="H205" s="224">
        <v>0.5</v>
      </c>
      <c r="I205" s="224">
        <v>4.2</v>
      </c>
      <c r="J205" s="226">
        <v>730.66731491999997</v>
      </c>
    </row>
    <row r="206" spans="1:10" ht="15.75" customHeight="1" x14ac:dyDescent="0.25">
      <c r="A206" s="227">
        <v>46098</v>
      </c>
      <c r="B206" s="228">
        <v>4.8061349699999996</v>
      </c>
      <c r="C206" s="228">
        <v>1.3328487</v>
      </c>
      <c r="D206" s="228">
        <v>206.21260000000001</v>
      </c>
      <c r="E206" s="228">
        <v>63.855731249999998</v>
      </c>
      <c r="F206" s="228">
        <v>447</v>
      </c>
      <c r="G206" s="228">
        <v>2.16</v>
      </c>
      <c r="H206" s="228">
        <v>0.5</v>
      </c>
      <c r="I206" s="228">
        <v>4.2</v>
      </c>
      <c r="J206" s="230">
        <v>730.06731491999994</v>
      </c>
    </row>
    <row r="207" spans="1:10" ht="15.75" customHeight="1" x14ac:dyDescent="0.25">
      <c r="A207" s="223">
        <v>46100</v>
      </c>
      <c r="B207" s="224">
        <v>4.8061349699999996</v>
      </c>
      <c r="C207" s="224">
        <v>1.3328487</v>
      </c>
      <c r="D207" s="224">
        <v>206.21260000000001</v>
      </c>
      <c r="E207" s="224">
        <v>63.855731249999998</v>
      </c>
      <c r="F207" s="224">
        <v>447</v>
      </c>
      <c r="G207" s="224">
        <v>2.16</v>
      </c>
      <c r="H207" s="224">
        <v>0.5</v>
      </c>
      <c r="I207" s="224">
        <v>4.2</v>
      </c>
      <c r="J207" s="226">
        <v>730.06731491999994</v>
      </c>
    </row>
    <row r="208" spans="1:10" ht="15.75" customHeight="1" x14ac:dyDescent="0.25">
      <c r="A208" s="227">
        <v>46104</v>
      </c>
      <c r="B208" s="228">
        <v>4.8061349699999996</v>
      </c>
      <c r="C208" s="228">
        <v>1.3328487</v>
      </c>
      <c r="D208" s="228">
        <v>206.21260000000001</v>
      </c>
      <c r="E208" s="228">
        <v>63.855731249999998</v>
      </c>
      <c r="F208" s="228">
        <v>446</v>
      </c>
      <c r="G208" s="228">
        <v>2.16</v>
      </c>
      <c r="H208" s="228">
        <v>0.5</v>
      </c>
      <c r="I208" s="228">
        <v>4.2</v>
      </c>
      <c r="J208" s="230">
        <v>729.06731491999994</v>
      </c>
    </row>
    <row r="209" spans="1:10" ht="15.75" customHeight="1" x14ac:dyDescent="0.25">
      <c r="A209" s="223">
        <v>46105</v>
      </c>
      <c r="B209" s="224">
        <v>4.8061349699999996</v>
      </c>
      <c r="C209" s="224">
        <v>1.3328487</v>
      </c>
      <c r="D209" s="224">
        <v>206.21260000000001</v>
      </c>
      <c r="E209" s="224">
        <v>63.855731249999998</v>
      </c>
      <c r="F209" s="224">
        <v>445.8</v>
      </c>
      <c r="G209" s="224">
        <v>2.16</v>
      </c>
      <c r="H209" s="224">
        <v>0.5</v>
      </c>
      <c r="I209" s="224">
        <v>4.2</v>
      </c>
      <c r="J209" s="226">
        <v>728.86731492000001</v>
      </c>
    </row>
    <row r="210" spans="1:10" ht="15.75" customHeight="1" x14ac:dyDescent="0.25">
      <c r="A210" s="227">
        <v>46107</v>
      </c>
      <c r="B210" s="228">
        <v>4.8061349699999996</v>
      </c>
      <c r="C210" s="228">
        <v>1.3328487</v>
      </c>
      <c r="D210" s="228">
        <v>206.21260000000001</v>
      </c>
      <c r="E210" s="228">
        <v>63.881253125000001</v>
      </c>
      <c r="F210" s="228">
        <v>443.6</v>
      </c>
      <c r="G210" s="228">
        <v>2.16</v>
      </c>
      <c r="H210" s="228">
        <v>0.5</v>
      </c>
      <c r="I210" s="228">
        <v>4.2</v>
      </c>
      <c r="J210" s="230">
        <v>726.69283679499995</v>
      </c>
    </row>
    <row r="211" spans="1:10" ht="15.75" customHeight="1" x14ac:dyDescent="0.25">
      <c r="A211" s="223">
        <v>46110</v>
      </c>
      <c r="B211" s="224">
        <v>4.8061349699999996</v>
      </c>
      <c r="C211" s="224">
        <v>1.3328487</v>
      </c>
      <c r="D211" s="224">
        <v>206.21260000000001</v>
      </c>
      <c r="E211" s="224">
        <v>63.881253125000001</v>
      </c>
      <c r="F211" s="224">
        <v>442</v>
      </c>
      <c r="G211" s="224">
        <v>2.16</v>
      </c>
      <c r="H211" s="224">
        <v>0.5</v>
      </c>
      <c r="I211" s="224">
        <v>4.2</v>
      </c>
      <c r="J211" s="226">
        <v>725.09283679500004</v>
      </c>
    </row>
    <row r="212" spans="1:10" ht="15.75" customHeight="1" x14ac:dyDescent="0.25">
      <c r="A212" s="227">
        <v>46112</v>
      </c>
      <c r="B212" s="228">
        <v>4.8061349699999996</v>
      </c>
      <c r="C212" s="228">
        <v>1.3328487</v>
      </c>
      <c r="D212" s="228">
        <v>206.36</v>
      </c>
      <c r="E212" s="228">
        <v>63.881253125000001</v>
      </c>
      <c r="F212" s="228">
        <v>440</v>
      </c>
      <c r="G212" s="228">
        <v>2.16</v>
      </c>
      <c r="H212" s="228">
        <v>0.5</v>
      </c>
      <c r="I212" s="228">
        <v>4.2</v>
      </c>
      <c r="J212" s="230">
        <v>723.24023679499999</v>
      </c>
    </row>
    <row r="213" spans="1:10" ht="15.75" customHeight="1" x14ac:dyDescent="0.25">
      <c r="A213" s="223">
        <v>46114</v>
      </c>
      <c r="B213" s="224">
        <v>4.8061349699999996</v>
      </c>
      <c r="C213" s="224">
        <v>1.3328487</v>
      </c>
      <c r="D213" s="224">
        <v>206.36</v>
      </c>
      <c r="E213" s="224">
        <v>63.881253125000001</v>
      </c>
      <c r="F213" s="224">
        <v>429.6</v>
      </c>
      <c r="G213" s="224">
        <v>2.16</v>
      </c>
      <c r="H213" s="224">
        <v>0.48749999999999999</v>
      </c>
      <c r="I213" s="224">
        <v>4.2</v>
      </c>
      <c r="J213" s="226">
        <v>712.82773679499996</v>
      </c>
    </row>
    <row r="214" spans="1:10" ht="15.75" customHeight="1" x14ac:dyDescent="0.25">
      <c r="A214" s="227">
        <v>46117</v>
      </c>
      <c r="B214" s="228">
        <v>4.8061349699999996</v>
      </c>
      <c r="C214" s="228">
        <v>1.3328487</v>
      </c>
      <c r="D214" s="228">
        <v>206.36</v>
      </c>
      <c r="E214" s="228">
        <v>63.881253125000001</v>
      </c>
      <c r="F214" s="228">
        <v>439</v>
      </c>
      <c r="G214" s="228">
        <v>2.16</v>
      </c>
      <c r="H214" s="228">
        <v>0.48749999999999999</v>
      </c>
      <c r="I214" s="228">
        <v>4.2</v>
      </c>
      <c r="J214" s="230">
        <v>722.22773679500006</v>
      </c>
    </row>
    <row r="215" spans="1:10" ht="15.75" customHeight="1" x14ac:dyDescent="0.25">
      <c r="A215" s="223">
        <v>46119</v>
      </c>
      <c r="B215" s="224">
        <v>4.8061349699999996</v>
      </c>
      <c r="C215" s="224">
        <v>1.3328487</v>
      </c>
      <c r="D215" s="224">
        <v>206.21260000000001</v>
      </c>
      <c r="E215" s="224">
        <v>63.881253125000001</v>
      </c>
      <c r="F215" s="224">
        <v>418</v>
      </c>
      <c r="G215" s="224">
        <v>2.16</v>
      </c>
      <c r="H215" s="224">
        <v>0.48749999999999999</v>
      </c>
      <c r="I215" s="224">
        <v>4.2</v>
      </c>
      <c r="J215" s="226">
        <v>701.08033679499999</v>
      </c>
    </row>
    <row r="216" spans="1:10" ht="15.75" customHeight="1" x14ac:dyDescent="0.25">
      <c r="A216" s="227">
        <v>46121</v>
      </c>
      <c r="B216" s="228">
        <v>4.8061349699999996</v>
      </c>
      <c r="C216" s="228">
        <v>1.3328487</v>
      </c>
      <c r="D216" s="228">
        <v>206.21260000000001</v>
      </c>
      <c r="E216" s="228">
        <v>63.881253125000001</v>
      </c>
      <c r="F216" s="228">
        <v>410</v>
      </c>
      <c r="G216" s="228">
        <v>2.16</v>
      </c>
      <c r="H216" s="228">
        <v>0.48749999999999999</v>
      </c>
      <c r="I216" s="228">
        <v>4.2</v>
      </c>
      <c r="J216" s="230">
        <v>693.08033679499999</v>
      </c>
    </row>
    <row r="217" spans="1:10" ht="15.75" customHeight="1" x14ac:dyDescent="0.25">
      <c r="A217" s="223">
        <v>46124</v>
      </c>
      <c r="B217" s="224">
        <v>4.8061349699999996</v>
      </c>
      <c r="C217" s="224">
        <v>1.3328487</v>
      </c>
      <c r="D217" s="224">
        <v>206.21260000000001</v>
      </c>
      <c r="E217" s="224">
        <v>63.881253125000001</v>
      </c>
      <c r="F217" s="224">
        <v>418</v>
      </c>
      <c r="G217" s="224">
        <v>2.16</v>
      </c>
      <c r="H217" s="224">
        <v>0.48749999999999999</v>
      </c>
      <c r="I217" s="224">
        <v>4.2</v>
      </c>
      <c r="J217" s="226">
        <v>701.08033679499999</v>
      </c>
    </row>
    <row r="218" spans="1:10" ht="15.75" customHeight="1" x14ac:dyDescent="0.25">
      <c r="A218" s="227">
        <v>46126</v>
      </c>
      <c r="B218" s="228">
        <v>4.8061349699999996</v>
      </c>
      <c r="C218" s="228">
        <v>1.3328487</v>
      </c>
      <c r="D218" s="228">
        <v>206.0652</v>
      </c>
      <c r="E218" s="228">
        <v>63.906775000000003</v>
      </c>
      <c r="F218" s="228">
        <v>410</v>
      </c>
      <c r="G218" s="228">
        <v>2.16</v>
      </c>
      <c r="H218" s="228">
        <v>0.48749999999999999</v>
      </c>
      <c r="I218" s="228">
        <v>4.2</v>
      </c>
      <c r="J218" s="230">
        <v>692.95845867000003</v>
      </c>
    </row>
    <row r="219" spans="1:10" ht="15.75" customHeight="1" x14ac:dyDescent="0.25">
      <c r="A219" s="223">
        <v>46128</v>
      </c>
      <c r="B219" s="224">
        <v>4.8061349699999996</v>
      </c>
      <c r="C219" s="224">
        <v>1.3328487</v>
      </c>
      <c r="D219" s="224">
        <v>205.62299999999999</v>
      </c>
      <c r="E219" s="224">
        <v>63.906775000000003</v>
      </c>
      <c r="F219" s="224">
        <v>408.8</v>
      </c>
      <c r="G219" s="224">
        <v>2.16</v>
      </c>
      <c r="H219" s="224">
        <v>0.48749999999999999</v>
      </c>
      <c r="I219" s="224">
        <v>4.2</v>
      </c>
      <c r="J219" s="226">
        <v>691.31625867000002</v>
      </c>
    </row>
    <row r="220" spans="1:10" ht="15.75" customHeight="1" x14ac:dyDescent="0.25">
      <c r="A220" s="227">
        <v>46131</v>
      </c>
      <c r="B220" s="228">
        <v>4.8061349699999996</v>
      </c>
      <c r="C220" s="228">
        <v>1.3328487</v>
      </c>
      <c r="D220" s="228">
        <v>206.0652</v>
      </c>
      <c r="E220" s="228">
        <v>63.906775000000003</v>
      </c>
      <c r="F220" s="228">
        <v>410</v>
      </c>
      <c r="G220" s="228">
        <v>2.16</v>
      </c>
      <c r="H220" s="228">
        <v>0.48749999999999999</v>
      </c>
      <c r="I220" s="228">
        <v>4.2</v>
      </c>
      <c r="J220" s="230">
        <v>692.95845867000003</v>
      </c>
    </row>
    <row r="221" spans="1:10" ht="15.75" customHeight="1" x14ac:dyDescent="0.25">
      <c r="A221" s="223">
        <v>46133</v>
      </c>
      <c r="B221" s="224">
        <v>4.8061349699999996</v>
      </c>
      <c r="C221" s="224">
        <v>1.3328487</v>
      </c>
      <c r="D221" s="224">
        <v>206.0652</v>
      </c>
      <c r="E221" s="224">
        <v>63.906775000000003</v>
      </c>
      <c r="F221" s="224">
        <v>416</v>
      </c>
      <c r="G221" s="224">
        <v>2.16</v>
      </c>
      <c r="H221" s="224">
        <v>0.48749999999999999</v>
      </c>
      <c r="I221" s="224">
        <v>4.2</v>
      </c>
      <c r="J221" s="226">
        <v>698.95845867000003</v>
      </c>
    </row>
    <row r="222" spans="1:10" ht="15.75" customHeight="1" x14ac:dyDescent="0.25">
      <c r="A222" s="227">
        <v>46135</v>
      </c>
      <c r="B222" s="228">
        <v>4.8061349699999996</v>
      </c>
      <c r="C222" s="228">
        <v>1.3328487</v>
      </c>
      <c r="D222" s="228">
        <v>206.0652</v>
      </c>
      <c r="E222" s="228">
        <v>63.906775000000003</v>
      </c>
      <c r="F222" s="228">
        <v>415.8</v>
      </c>
      <c r="G222" s="228">
        <v>2.16</v>
      </c>
      <c r="H222" s="228">
        <v>0.48749999999999999</v>
      </c>
      <c r="I222" s="228">
        <v>4.2</v>
      </c>
      <c r="J222" s="230">
        <v>698.75845866999998</v>
      </c>
    </row>
    <row r="223" spans="1:10" ht="15.75" customHeight="1" x14ac:dyDescent="0.25">
      <c r="A223" s="223">
        <v>46138</v>
      </c>
      <c r="B223" s="224">
        <v>4.8061349699999996</v>
      </c>
      <c r="C223" s="224">
        <v>1.3328487</v>
      </c>
      <c r="D223" s="224">
        <v>206.0652</v>
      </c>
      <c r="E223" s="224">
        <v>63.906775000000003</v>
      </c>
      <c r="F223" s="224">
        <v>418</v>
      </c>
      <c r="G223" s="224">
        <v>2.16</v>
      </c>
      <c r="H223" s="224">
        <v>0.48749999999999999</v>
      </c>
      <c r="I223" s="224">
        <v>4.2</v>
      </c>
      <c r="J223" s="226">
        <v>700.95845867000003</v>
      </c>
    </row>
    <row r="224" spans="1:10" ht="15.75" customHeight="1" x14ac:dyDescent="0.25">
      <c r="A224" s="227">
        <v>46140</v>
      </c>
      <c r="B224" s="228">
        <v>4.8061349699999996</v>
      </c>
      <c r="C224" s="228">
        <v>1.3328487</v>
      </c>
      <c r="D224" s="228">
        <v>206.0652</v>
      </c>
      <c r="E224" s="228">
        <v>63.906775000000003</v>
      </c>
      <c r="F224" s="228">
        <v>418</v>
      </c>
      <c r="G224" s="228">
        <v>2.16</v>
      </c>
      <c r="H224" s="228">
        <v>0.48749999999999999</v>
      </c>
      <c r="I224" s="228">
        <v>4.62</v>
      </c>
      <c r="J224" s="230">
        <v>701.37845866999999</v>
      </c>
    </row>
    <row r="225" spans="1:10" ht="15.75" customHeight="1" x14ac:dyDescent="0.25">
      <c r="A225" s="223">
        <v>46142</v>
      </c>
      <c r="B225" s="224">
        <v>4.8061349699999996</v>
      </c>
      <c r="C225" s="224">
        <v>1.3328487</v>
      </c>
      <c r="D225" s="224">
        <v>206.0652</v>
      </c>
      <c r="E225" s="224">
        <v>63.906775000000003</v>
      </c>
      <c r="F225" s="224">
        <v>418</v>
      </c>
      <c r="G225" s="224">
        <v>2.16</v>
      </c>
      <c r="H225" s="224">
        <v>0.48749999999999999</v>
      </c>
      <c r="I225" s="224">
        <v>4.62</v>
      </c>
      <c r="J225" s="226">
        <v>701.37845866999999</v>
      </c>
    </row>
    <row r="226" spans="1:10" ht="15.75" customHeight="1" x14ac:dyDescent="0.25">
      <c r="A226" s="227">
        <v>46145</v>
      </c>
      <c r="B226" s="228">
        <v>4.8061349699999996</v>
      </c>
      <c r="C226" s="228">
        <v>1.3328487</v>
      </c>
      <c r="D226" s="228">
        <v>206.21260000000001</v>
      </c>
      <c r="E226" s="228">
        <v>63.906775000000003</v>
      </c>
      <c r="F226" s="228">
        <v>418</v>
      </c>
      <c r="G226" s="228">
        <v>2.16</v>
      </c>
      <c r="H226" s="228">
        <v>0.48749999999999999</v>
      </c>
      <c r="I226" s="228">
        <v>4.62</v>
      </c>
      <c r="J226" s="230">
        <v>701.52585867000005</v>
      </c>
    </row>
    <row r="227" spans="1:10" ht="15.75" customHeight="1" x14ac:dyDescent="0.25">
      <c r="A227" s="223">
        <v>46147</v>
      </c>
      <c r="B227" s="224">
        <v>4.7922041440000003</v>
      </c>
      <c r="C227" s="224">
        <v>1.3328487</v>
      </c>
      <c r="D227" s="224">
        <v>201.93799999999999</v>
      </c>
      <c r="E227" s="224">
        <v>63.906775000000003</v>
      </c>
      <c r="F227" s="224">
        <v>418</v>
      </c>
      <c r="G227" s="224">
        <v>2.16</v>
      </c>
      <c r="H227" s="224">
        <v>0.53125</v>
      </c>
      <c r="I227" s="224">
        <v>4.45</v>
      </c>
      <c r="J227" s="226">
        <v>697.11107784399996</v>
      </c>
    </row>
    <row r="228" spans="1:10" ht="15.75" customHeight="1" x14ac:dyDescent="0.25">
      <c r="A228" s="227">
        <v>46149</v>
      </c>
      <c r="B228" s="228">
        <v>4.7922041440000003</v>
      </c>
      <c r="C228" s="228">
        <v>1.3328487</v>
      </c>
      <c r="D228" s="228">
        <v>206.0652</v>
      </c>
      <c r="E228" s="228">
        <v>63.957818750000001</v>
      </c>
      <c r="F228" s="228">
        <v>418</v>
      </c>
      <c r="G228" s="228">
        <v>2.16</v>
      </c>
      <c r="H228" s="228">
        <v>0.53125</v>
      </c>
      <c r="I228" s="228">
        <v>4.45</v>
      </c>
      <c r="J228" s="230">
        <v>701.28932159399994</v>
      </c>
    </row>
    <row r="229" spans="1:10" ht="15.75" customHeight="1" x14ac:dyDescent="0.25">
      <c r="A229" s="223">
        <v>46152</v>
      </c>
      <c r="B229" s="224">
        <v>4.8061349699999996</v>
      </c>
      <c r="C229" s="224">
        <v>1.3328487</v>
      </c>
      <c r="D229" s="224">
        <v>206.0652</v>
      </c>
      <c r="E229" s="224">
        <v>63.957818750000001</v>
      </c>
      <c r="F229" s="224">
        <v>418</v>
      </c>
      <c r="G229" s="224">
        <v>2.16</v>
      </c>
      <c r="H229" s="224">
        <v>0.53125</v>
      </c>
      <c r="I229" s="224">
        <v>4.45</v>
      </c>
      <c r="J229" s="226">
        <v>701.30325242000004</v>
      </c>
    </row>
    <row r="230" spans="1:10" ht="15.75" customHeight="1" x14ac:dyDescent="0.25">
      <c r="A230" s="227">
        <v>46154</v>
      </c>
      <c r="B230" s="228">
        <v>4.8061349699999996</v>
      </c>
      <c r="C230" s="228">
        <v>1.3328487</v>
      </c>
      <c r="D230" s="228">
        <v>206.0652</v>
      </c>
      <c r="E230" s="228">
        <v>63.957818750000001</v>
      </c>
      <c r="F230" s="228">
        <v>418</v>
      </c>
      <c r="G230" s="228">
        <v>2.16</v>
      </c>
      <c r="H230" s="228">
        <v>0.53125</v>
      </c>
      <c r="I230" s="228">
        <v>4.45</v>
      </c>
      <c r="J230" s="230">
        <v>701.30325242000004</v>
      </c>
    </row>
    <row r="231" spans="1:10" ht="15.75" customHeight="1" x14ac:dyDescent="0.25">
      <c r="A231" s="223">
        <v>46156</v>
      </c>
      <c r="B231" s="224">
        <v>4.8061349699999996</v>
      </c>
      <c r="C231" s="224">
        <v>1.3328487</v>
      </c>
      <c r="D231" s="224">
        <v>206.21260000000001</v>
      </c>
      <c r="E231" s="224">
        <v>63.957818750000001</v>
      </c>
      <c r="F231" s="224">
        <v>418</v>
      </c>
      <c r="G231" s="224">
        <v>2.16</v>
      </c>
      <c r="H231" s="224">
        <v>0.53125</v>
      </c>
      <c r="I231" s="224">
        <v>4.45</v>
      </c>
      <c r="J231" s="226">
        <v>701.45065241999998</v>
      </c>
    </row>
    <row r="232" spans="1:10" ht="15.75" customHeight="1" x14ac:dyDescent="0.25">
      <c r="A232" s="227">
        <v>46159</v>
      </c>
      <c r="B232" s="228">
        <v>4.8061349699999996</v>
      </c>
      <c r="C232" s="228">
        <v>1.3328487</v>
      </c>
      <c r="D232" s="228">
        <v>206.21260000000001</v>
      </c>
      <c r="E232" s="228">
        <v>63.957818750000001</v>
      </c>
      <c r="F232" s="228">
        <v>418</v>
      </c>
      <c r="G232" s="228">
        <v>2.16</v>
      </c>
      <c r="H232" s="228">
        <v>0.53125</v>
      </c>
      <c r="I232" s="228">
        <v>4.45</v>
      </c>
      <c r="J232" s="230">
        <v>701.45065241999998</v>
      </c>
    </row>
    <row r="233" spans="1:10" ht="15.75" customHeight="1" x14ac:dyDescent="0.25">
      <c r="A233" s="223">
        <v>46161</v>
      </c>
      <c r="B233" s="224">
        <v>4.8061349699999996</v>
      </c>
      <c r="C233" s="224">
        <v>1.3328487</v>
      </c>
      <c r="D233" s="224">
        <v>205.9178</v>
      </c>
      <c r="E233" s="224">
        <v>63.957818750000001</v>
      </c>
      <c r="F233" s="224">
        <v>413.8</v>
      </c>
      <c r="G233" s="224">
        <v>2.16</v>
      </c>
      <c r="H233" s="224">
        <v>0.48749999999999999</v>
      </c>
      <c r="I233" s="224">
        <v>4.45</v>
      </c>
      <c r="J233" s="226">
        <v>696.91210242</v>
      </c>
    </row>
    <row r="234" spans="1:10" ht="15.75" customHeight="1" x14ac:dyDescent="0.25">
      <c r="A234" s="227">
        <v>46163</v>
      </c>
      <c r="B234" s="228">
        <v>4.7922041440000003</v>
      </c>
      <c r="C234" s="228">
        <v>1.3328487</v>
      </c>
      <c r="D234" s="228">
        <v>205.9178</v>
      </c>
      <c r="E234" s="228">
        <v>63.957818750000001</v>
      </c>
      <c r="F234" s="228">
        <v>413.8</v>
      </c>
      <c r="G234" s="228">
        <v>2.16</v>
      </c>
      <c r="H234" s="228">
        <v>0.48749999999999999</v>
      </c>
      <c r="I234" s="228">
        <v>4.45</v>
      </c>
      <c r="J234" s="230">
        <v>696.89817159400002</v>
      </c>
    </row>
    <row r="235" spans="1:10" ht="15.75" customHeight="1" x14ac:dyDescent="0.25">
      <c r="A235" s="223">
        <v>46166</v>
      </c>
      <c r="B235" s="224">
        <v>4.7922041440000003</v>
      </c>
      <c r="C235" s="224">
        <v>1.3328487</v>
      </c>
      <c r="D235" s="224">
        <v>205.9178</v>
      </c>
      <c r="E235" s="224">
        <v>63.957818750000001</v>
      </c>
      <c r="F235" s="224">
        <v>414</v>
      </c>
      <c r="G235" s="224">
        <v>2.16</v>
      </c>
      <c r="H235" s="224">
        <v>0.48749999999999999</v>
      </c>
      <c r="I235" s="224">
        <v>4.45</v>
      </c>
      <c r="J235" s="226">
        <v>697.09817159399995</v>
      </c>
    </row>
    <row r="236" spans="1:10" ht="15.75" customHeight="1" x14ac:dyDescent="0.25">
      <c r="A236" s="227">
        <v>46168</v>
      </c>
      <c r="B236" s="228">
        <v>4.7922041440000003</v>
      </c>
      <c r="C236" s="228">
        <v>1.3328487</v>
      </c>
      <c r="D236" s="228">
        <v>206.0652</v>
      </c>
      <c r="E236" s="228">
        <v>64.059906249999997</v>
      </c>
      <c r="F236" s="228">
        <v>414</v>
      </c>
      <c r="G236" s="228">
        <v>2.16</v>
      </c>
      <c r="H236" s="228">
        <v>0.48749999999999999</v>
      </c>
      <c r="I236" s="228">
        <v>4.45</v>
      </c>
      <c r="J236" s="230">
        <v>697.34765909400005</v>
      </c>
    </row>
    <row r="237" spans="1:10" ht="15.75" customHeight="1" x14ac:dyDescent="0.25">
      <c r="A237" s="223">
        <v>46173</v>
      </c>
      <c r="B237" s="224">
        <v>4.7922041440000003</v>
      </c>
      <c r="C237" s="224">
        <v>1.3328487</v>
      </c>
      <c r="D237" s="224">
        <v>206.0652</v>
      </c>
      <c r="E237" s="224">
        <v>64.059906249999997</v>
      </c>
      <c r="F237" s="224">
        <v>413.6</v>
      </c>
      <c r="G237" s="224">
        <v>2.16</v>
      </c>
      <c r="H237" s="224">
        <v>0.48749999999999999</v>
      </c>
      <c r="I237" s="224">
        <v>4.45</v>
      </c>
      <c r="J237" s="226">
        <v>696.94765909399996</v>
      </c>
    </row>
    <row r="238" spans="1:10" ht="15.75" customHeight="1" x14ac:dyDescent="0.25">
      <c r="A238" s="227">
        <v>46175</v>
      </c>
      <c r="B238" s="228">
        <v>4.7922041440000003</v>
      </c>
      <c r="C238" s="228">
        <v>1.3328487</v>
      </c>
      <c r="D238" s="228">
        <v>206.0652</v>
      </c>
      <c r="E238" s="228">
        <v>64.059906249999997</v>
      </c>
      <c r="F238" s="228">
        <v>413.8</v>
      </c>
      <c r="G238" s="228">
        <v>2.16</v>
      </c>
      <c r="H238" s="228">
        <v>0.48749999999999999</v>
      </c>
      <c r="I238" s="228">
        <v>4.45</v>
      </c>
      <c r="J238" s="230">
        <v>697.14765909400001</v>
      </c>
    </row>
    <row r="239" spans="1:10" ht="15.75" customHeight="1" x14ac:dyDescent="0.25">
      <c r="A239" s="223">
        <v>46177</v>
      </c>
      <c r="B239" s="224">
        <v>4.7922041440000003</v>
      </c>
      <c r="C239" s="224">
        <v>1.3328487</v>
      </c>
      <c r="D239" s="224">
        <v>206.0652</v>
      </c>
      <c r="E239" s="224">
        <v>64.059906249999997</v>
      </c>
      <c r="F239" s="224">
        <v>413.4</v>
      </c>
      <c r="G239" s="224">
        <v>2.16</v>
      </c>
      <c r="H239" s="224">
        <v>0.48749999999999999</v>
      </c>
      <c r="I239" s="224">
        <v>4.45</v>
      </c>
      <c r="J239" s="226">
        <v>696.74765909400003</v>
      </c>
    </row>
    <row r="240" spans="1:10" ht="15.75" customHeight="1" x14ac:dyDescent="0.25">
      <c r="A240" s="227">
        <v>46180</v>
      </c>
      <c r="B240" s="228">
        <v>4.7922041440000003</v>
      </c>
      <c r="C240" s="228">
        <v>1.3328487</v>
      </c>
      <c r="D240" s="228">
        <v>205.9178</v>
      </c>
      <c r="E240" s="228">
        <v>64.059906249999997</v>
      </c>
      <c r="F240" s="228">
        <v>413.4</v>
      </c>
      <c r="G240" s="228">
        <v>2.16</v>
      </c>
      <c r="H240" s="228">
        <v>0.48749999999999999</v>
      </c>
      <c r="I240" s="228">
        <v>4.45</v>
      </c>
      <c r="J240" s="230">
        <v>696.60025909399997</v>
      </c>
    </row>
    <row r="241" spans="1:10" ht="15.75" customHeight="1" x14ac:dyDescent="0.25">
      <c r="A241" s="223">
        <v>46182</v>
      </c>
      <c r="B241" s="224">
        <v>4.7922041440000003</v>
      </c>
      <c r="C241" s="224">
        <v>1.3328487</v>
      </c>
      <c r="D241" s="224">
        <v>205.9178</v>
      </c>
      <c r="E241" s="224">
        <v>64.059906249999997</v>
      </c>
      <c r="F241" s="224">
        <v>413.4</v>
      </c>
      <c r="G241" s="224">
        <v>2.16</v>
      </c>
      <c r="H241" s="224">
        <v>0.48749999999999999</v>
      </c>
      <c r="I241" s="224">
        <v>4.45</v>
      </c>
      <c r="J241" s="226">
        <v>696.60025909399997</v>
      </c>
    </row>
    <row r="242" spans="1:10" ht="15.75" customHeight="1" x14ac:dyDescent="0.25">
      <c r="A242" s="227">
        <v>46184</v>
      </c>
      <c r="B242" s="228">
        <v>4.8061349699999996</v>
      </c>
      <c r="C242" s="228">
        <v>1.3328487</v>
      </c>
      <c r="D242" s="228">
        <v>205.62299999999999</v>
      </c>
      <c r="E242" s="228">
        <v>64.059906249999997</v>
      </c>
      <c r="F242" s="228">
        <v>413.8</v>
      </c>
      <c r="G242" s="228">
        <v>2.16</v>
      </c>
      <c r="H242" s="228">
        <v>0.48749999999999999</v>
      </c>
      <c r="I242" s="228">
        <v>4.45</v>
      </c>
      <c r="J242" s="230">
        <v>696.71938992000003</v>
      </c>
    </row>
    <row r="243" spans="1:10" ht="15.75" customHeight="1" x14ac:dyDescent="0.25">
      <c r="A243" s="223">
        <v>46187</v>
      </c>
      <c r="B243" s="224">
        <v>4.8061349699999996</v>
      </c>
      <c r="C243" s="224">
        <v>1.3328487</v>
      </c>
      <c r="D243" s="224">
        <v>205.9178</v>
      </c>
      <c r="E243" s="224">
        <v>64.059906249999997</v>
      </c>
      <c r="F243" s="224">
        <v>418</v>
      </c>
      <c r="G243" s="224">
        <v>2.16</v>
      </c>
      <c r="H243" s="224">
        <v>0.48749999999999999</v>
      </c>
      <c r="I243" s="224">
        <v>4.45</v>
      </c>
      <c r="J243" s="226">
        <v>701.21418991999997</v>
      </c>
    </row>
    <row r="244" spans="1:10" ht="15.75" customHeight="1" x14ac:dyDescent="0.25">
      <c r="A244" s="227">
        <v>46190</v>
      </c>
      <c r="B244" s="228">
        <v>4.8061349699999996</v>
      </c>
      <c r="C244" s="228">
        <v>1.3328487</v>
      </c>
      <c r="D244" s="228">
        <v>206.0652</v>
      </c>
      <c r="E244" s="228">
        <v>64.059906249999997</v>
      </c>
      <c r="F244" s="228">
        <v>438.8</v>
      </c>
      <c r="G244" s="228">
        <v>2.16</v>
      </c>
      <c r="H244" s="228">
        <v>0.48749999999999999</v>
      </c>
      <c r="I244" s="228">
        <v>4.45</v>
      </c>
      <c r="J244" s="230">
        <v>722.16158991999998</v>
      </c>
    </row>
    <row r="245" spans="1:10" ht="15.75" customHeight="1" x14ac:dyDescent="0.25">
      <c r="A245" s="223">
        <v>46191</v>
      </c>
      <c r="B245" s="224">
        <v>4.7922041440000003</v>
      </c>
      <c r="C245" s="224">
        <v>1.3328487</v>
      </c>
      <c r="D245" s="224">
        <v>206.0652</v>
      </c>
      <c r="E245" s="224">
        <v>64.059906249999997</v>
      </c>
      <c r="F245" s="224">
        <v>460</v>
      </c>
      <c r="G245" s="224">
        <v>2.16</v>
      </c>
      <c r="H245" s="224">
        <v>0.48749999999999999</v>
      </c>
      <c r="I245" s="224">
        <v>4.45</v>
      </c>
      <c r="J245" s="226">
        <v>743.34765909400005</v>
      </c>
    </row>
    <row r="246" spans="1:10" ht="15.75" customHeight="1" x14ac:dyDescent="0.25">
      <c r="A246" s="227">
        <v>46194</v>
      </c>
      <c r="B246" s="228">
        <v>4.7922041440000003</v>
      </c>
      <c r="C246" s="228">
        <v>1.3328487</v>
      </c>
      <c r="D246" s="228">
        <v>206.36</v>
      </c>
      <c r="E246" s="228">
        <v>64.059906249999997</v>
      </c>
      <c r="F246" s="228">
        <v>460</v>
      </c>
      <c r="G246" s="228">
        <v>2.16</v>
      </c>
      <c r="H246" s="228">
        <v>0.48749999999999999</v>
      </c>
      <c r="I246" s="228">
        <v>4.45</v>
      </c>
      <c r="J246" s="230">
        <v>743.64245909399995</v>
      </c>
    </row>
    <row r="247" spans="1:10" ht="15.75" customHeight="1" x14ac:dyDescent="0.25">
      <c r="A247" s="223">
        <v>46196</v>
      </c>
      <c r="B247" s="224">
        <v>4.7922041440000003</v>
      </c>
      <c r="C247" s="224">
        <v>1.3328487</v>
      </c>
      <c r="D247" s="224">
        <v>206.36</v>
      </c>
      <c r="E247" s="224">
        <v>64.059906249999997</v>
      </c>
      <c r="F247" s="224">
        <v>460</v>
      </c>
      <c r="G247" s="224">
        <v>2.16</v>
      </c>
      <c r="H247" s="224">
        <v>0.48749999999999999</v>
      </c>
      <c r="I247" s="224">
        <v>4.45</v>
      </c>
      <c r="J247" s="226">
        <v>743.64245909399995</v>
      </c>
    </row>
    <row r="248" spans="1:10" ht="15.75" customHeight="1" x14ac:dyDescent="0.25">
      <c r="A248" s="227">
        <v>46201</v>
      </c>
      <c r="B248" s="228">
        <v>4.7922041440000003</v>
      </c>
      <c r="C248" s="228">
        <v>1.3328487</v>
      </c>
      <c r="D248" s="228">
        <v>206.36</v>
      </c>
      <c r="E248" s="228">
        <v>64.059906249999997</v>
      </c>
      <c r="F248" s="228">
        <v>460</v>
      </c>
      <c r="G248" s="228">
        <v>2.16</v>
      </c>
      <c r="H248" s="228">
        <v>0.48749999999999999</v>
      </c>
      <c r="I248" s="228">
        <v>4.45</v>
      </c>
      <c r="J248" s="230">
        <v>743.64245909399995</v>
      </c>
    </row>
    <row r="249" spans="1:10" ht="15.75" customHeight="1" x14ac:dyDescent="0.25">
      <c r="A249" s="223">
        <v>46203</v>
      </c>
      <c r="B249" s="224">
        <v>4.7922041440000003</v>
      </c>
      <c r="C249" s="224">
        <v>1.3328487</v>
      </c>
      <c r="D249" s="224">
        <v>206.36</v>
      </c>
      <c r="E249" s="224">
        <v>64.059906249999997</v>
      </c>
      <c r="F249" s="224">
        <v>460</v>
      </c>
      <c r="G249" s="224">
        <v>2.16</v>
      </c>
      <c r="H249" s="224">
        <v>0.48749999999999999</v>
      </c>
      <c r="I249" s="224">
        <v>4.45</v>
      </c>
      <c r="J249" s="226">
        <v>743.64245909399995</v>
      </c>
    </row>
    <row r="250" spans="1:10" ht="15.75" customHeight="1" x14ac:dyDescent="0.25">
      <c r="A250" s="227">
        <v>46209</v>
      </c>
      <c r="B250" s="228">
        <v>4.8061349699999996</v>
      </c>
      <c r="C250" s="228">
        <v>1.3328487</v>
      </c>
      <c r="D250" s="228">
        <v>206.36</v>
      </c>
      <c r="E250" s="228">
        <v>64.059906249999997</v>
      </c>
      <c r="F250" s="228">
        <v>460</v>
      </c>
      <c r="G250" s="228">
        <v>2.16</v>
      </c>
      <c r="H250" s="228">
        <v>0.48749999999999999</v>
      </c>
      <c r="I250" s="228">
        <v>4.45</v>
      </c>
      <c r="J250" s="230">
        <v>743.65638992000004</v>
      </c>
    </row>
    <row r="251" spans="1:10" ht="15.75" customHeight="1" x14ac:dyDescent="0.25">
      <c r="A251" s="223">
        <v>46210</v>
      </c>
      <c r="B251" s="224">
        <v>4.8061349699999996</v>
      </c>
      <c r="C251" s="224">
        <v>1.3328487</v>
      </c>
      <c r="D251" s="224">
        <v>206.36</v>
      </c>
      <c r="E251" s="224">
        <v>64.059906249999997</v>
      </c>
      <c r="F251" s="224">
        <v>460</v>
      </c>
      <c r="G251" s="224">
        <v>2.16</v>
      </c>
      <c r="H251" s="224">
        <v>0.48749999999999999</v>
      </c>
      <c r="I251" s="224">
        <v>4.46</v>
      </c>
      <c r="J251" s="226">
        <v>743.66638992000003</v>
      </c>
    </row>
  </sheetData>
  <mergeCells count="7">
    <mergeCell ref="A19:K19"/>
    <mergeCell ref="A1:K1"/>
    <mergeCell ref="A4:K4"/>
    <mergeCell ref="A3:K3"/>
    <mergeCell ref="A14:C14"/>
    <mergeCell ref="A2:K2"/>
    <mergeCell ref="A16:K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84"/>
  <sheetViews>
    <sheetView showGridLines="0" zoomScaleNormal="100" workbookViewId="0">
      <selection sqref="A1:F1"/>
    </sheetView>
  </sheetViews>
  <sheetFormatPr defaultColWidth="8.7109375" defaultRowHeight="15" x14ac:dyDescent="0.25"/>
  <cols>
    <col min="1" max="1" width="14" customWidth="1"/>
    <col min="2" max="2" width="18" customWidth="1"/>
    <col min="3" max="3" width="22" customWidth="1"/>
    <col min="4" max="4" width="25" customWidth="1"/>
  </cols>
  <sheetData>
    <row r="1" spans="1:6" ht="37.5" customHeight="1" x14ac:dyDescent="0.25">
      <c r="A1" s="340" t="s">
        <v>475</v>
      </c>
      <c r="B1" s="341"/>
      <c r="C1" s="341"/>
      <c r="D1" s="341"/>
      <c r="E1" s="341"/>
      <c r="F1" s="341"/>
    </row>
    <row r="2" spans="1:6" ht="19.5" customHeight="1" x14ac:dyDescent="0.25">
      <c r="A2" s="342" t="s">
        <v>476</v>
      </c>
      <c r="B2" s="341"/>
      <c r="C2" s="341"/>
      <c r="D2" s="341"/>
      <c r="E2" s="341"/>
      <c r="F2" s="341"/>
    </row>
    <row r="3" spans="1:6" ht="9.75" customHeight="1" x14ac:dyDescent="0.25">
      <c r="A3" s="343"/>
      <c r="B3" s="341"/>
      <c r="C3" s="341"/>
      <c r="D3" s="341"/>
      <c r="E3" s="341"/>
      <c r="F3" s="341"/>
    </row>
    <row r="4" spans="1:6" ht="24" customHeight="1" x14ac:dyDescent="0.25">
      <c r="A4" s="345" t="s">
        <v>477</v>
      </c>
      <c r="B4" s="341"/>
      <c r="C4" s="341"/>
      <c r="D4" s="341"/>
      <c r="E4" s="341"/>
      <c r="F4" s="341"/>
    </row>
    <row r="5" spans="1:6" ht="21.75" customHeight="1" x14ac:dyDescent="0.25">
      <c r="A5" s="121" t="s">
        <v>478</v>
      </c>
      <c r="B5" s="231" t="s">
        <v>479</v>
      </c>
      <c r="C5" s="347" t="s">
        <v>480</v>
      </c>
      <c r="D5" s="341"/>
      <c r="E5" s="341"/>
      <c r="F5" s="341"/>
    </row>
    <row r="6" spans="1:6" ht="21.75" customHeight="1" x14ac:dyDescent="0.25">
      <c r="A6" s="95" t="s">
        <v>481</v>
      </c>
      <c r="B6" s="232" t="s">
        <v>482</v>
      </c>
      <c r="C6" s="346" t="s">
        <v>483</v>
      </c>
      <c r="D6" s="341"/>
      <c r="E6" s="341"/>
      <c r="F6" s="341"/>
    </row>
    <row r="7" spans="1:6" ht="21.75" customHeight="1" x14ac:dyDescent="0.25">
      <c r="A7" s="233" t="s">
        <v>484</v>
      </c>
      <c r="B7" s="234" t="s">
        <v>485</v>
      </c>
      <c r="C7" s="351" t="s">
        <v>486</v>
      </c>
      <c r="D7" s="341"/>
      <c r="E7" s="341"/>
      <c r="F7" s="341"/>
    </row>
    <row r="8" spans="1:6" ht="21.75" customHeight="1" x14ac:dyDescent="0.25">
      <c r="A8" s="95" t="s">
        <v>487</v>
      </c>
      <c r="B8" s="232" t="s">
        <v>488</v>
      </c>
      <c r="C8" s="346" t="s">
        <v>489</v>
      </c>
      <c r="D8" s="341"/>
      <c r="E8" s="341"/>
      <c r="F8" s="341"/>
    </row>
    <row r="9" spans="1:6" ht="21.75" customHeight="1" x14ac:dyDescent="0.25">
      <c r="A9" s="121" t="s">
        <v>490</v>
      </c>
      <c r="B9" s="231" t="s">
        <v>128</v>
      </c>
      <c r="C9" s="347" t="s">
        <v>491</v>
      </c>
      <c r="D9" s="341"/>
      <c r="E9" s="341"/>
      <c r="F9" s="341"/>
    </row>
    <row r="10" spans="1:6" ht="21.75" customHeight="1" x14ac:dyDescent="0.25">
      <c r="A10" s="233" t="s">
        <v>492</v>
      </c>
      <c r="B10" s="235" t="s">
        <v>493</v>
      </c>
      <c r="C10" s="348" t="s">
        <v>494</v>
      </c>
      <c r="D10" s="341"/>
      <c r="E10" s="341"/>
      <c r="F10" s="341"/>
    </row>
    <row r="12" spans="1:6" ht="36" customHeight="1" x14ac:dyDescent="0.25">
      <c r="A12" s="352" t="s">
        <v>495</v>
      </c>
      <c r="B12" s="341"/>
      <c r="C12" s="341"/>
      <c r="D12" s="341"/>
      <c r="E12" s="341"/>
      <c r="F12" s="341"/>
    </row>
    <row r="15" spans="1:6" ht="24" customHeight="1" x14ac:dyDescent="0.25">
      <c r="A15" s="345" t="s">
        <v>496</v>
      </c>
      <c r="B15" s="341"/>
      <c r="C15" s="341"/>
      <c r="D15" s="341"/>
      <c r="E15" s="341"/>
      <c r="F15" s="341"/>
    </row>
    <row r="16" spans="1:6" ht="27.75" customHeight="1" x14ac:dyDescent="0.25">
      <c r="A16" s="2" t="s">
        <v>140</v>
      </c>
      <c r="B16" s="2" t="s">
        <v>497</v>
      </c>
      <c r="C16" s="2" t="s">
        <v>498</v>
      </c>
      <c r="D16" s="2" t="s">
        <v>499</v>
      </c>
    </row>
    <row r="17" spans="1:4" ht="15.75" customHeight="1" x14ac:dyDescent="0.25">
      <c r="A17" s="182" t="s">
        <v>213</v>
      </c>
      <c r="B17" s="236">
        <v>4.9000000000000002E-2</v>
      </c>
      <c r="C17" s="182" t="s">
        <v>500</v>
      </c>
      <c r="D17" s="237" t="s">
        <v>18</v>
      </c>
    </row>
    <row r="18" spans="1:4" ht="15.75" customHeight="1" x14ac:dyDescent="0.25">
      <c r="A18" s="184" t="s">
        <v>214</v>
      </c>
      <c r="B18" s="238">
        <v>5.2299999999999999E-2</v>
      </c>
      <c r="C18" s="184" t="s">
        <v>501</v>
      </c>
      <c r="D18" s="238">
        <v>3.3E-3</v>
      </c>
    </row>
    <row r="19" spans="1:4" ht="15.75" customHeight="1" x14ac:dyDescent="0.25">
      <c r="A19" s="182" t="s">
        <v>215</v>
      </c>
      <c r="B19" s="239">
        <v>5.7099999999999998E-2</v>
      </c>
      <c r="C19" s="182" t="s">
        <v>501</v>
      </c>
      <c r="D19" s="239">
        <v>4.7999999999999996E-3</v>
      </c>
    </row>
    <row r="20" spans="1:4" ht="15.75" customHeight="1" x14ac:dyDescent="0.25">
      <c r="A20" s="184" t="s">
        <v>217</v>
      </c>
      <c r="B20" s="238">
        <v>6.08E-2</v>
      </c>
      <c r="C20" s="184" t="s">
        <v>501</v>
      </c>
      <c r="D20" s="238">
        <v>3.7000000000000002E-3</v>
      </c>
    </row>
    <row r="21" spans="1:4" ht="15.75" customHeight="1" x14ac:dyDescent="0.25">
      <c r="A21" s="182" t="s">
        <v>218</v>
      </c>
      <c r="B21" s="239">
        <v>6.1800000000000001E-2</v>
      </c>
      <c r="C21" s="182" t="s">
        <v>501</v>
      </c>
      <c r="D21" s="239">
        <v>1E-3</v>
      </c>
    </row>
    <row r="22" spans="1:4" ht="15.75" customHeight="1" x14ac:dyDescent="0.25">
      <c r="A22" s="184" t="s">
        <v>221</v>
      </c>
      <c r="B22" s="238">
        <v>5.8599999999999999E-2</v>
      </c>
      <c r="C22" s="184" t="s">
        <v>501</v>
      </c>
      <c r="D22" s="240">
        <v>-3.2000000000000002E-3</v>
      </c>
    </row>
    <row r="23" spans="1:4" ht="15.75" customHeight="1" x14ac:dyDescent="0.25">
      <c r="A23" s="182" t="s">
        <v>222</v>
      </c>
      <c r="B23" s="239">
        <v>5.5899999999999998E-2</v>
      </c>
      <c r="C23" s="182" t="s">
        <v>501</v>
      </c>
      <c r="D23" s="241">
        <v>-2.7000000000000001E-3</v>
      </c>
    </row>
    <row r="24" spans="1:4" ht="15.75" customHeight="1" x14ac:dyDescent="0.25">
      <c r="A24" s="184" t="s">
        <v>223</v>
      </c>
      <c r="B24" s="238">
        <v>5.16E-2</v>
      </c>
      <c r="C24" s="184" t="s">
        <v>501</v>
      </c>
      <c r="D24" s="240">
        <v>-4.3E-3</v>
      </c>
    </row>
    <row r="25" spans="1:4" ht="15.75" customHeight="1" x14ac:dyDescent="0.25">
      <c r="A25" s="182" t="s">
        <v>224</v>
      </c>
      <c r="B25" s="236">
        <v>4.9099999999999998E-2</v>
      </c>
      <c r="C25" s="182" t="s">
        <v>500</v>
      </c>
      <c r="D25" s="241">
        <v>-2.5000000000000001E-3</v>
      </c>
    </row>
    <row r="26" spans="1:4" ht="15.75" customHeight="1" x14ac:dyDescent="0.25">
      <c r="A26" s="184" t="s">
        <v>225</v>
      </c>
      <c r="B26" s="242">
        <v>4.5900000000000003E-2</v>
      </c>
      <c r="C26" s="184" t="s">
        <v>500</v>
      </c>
      <c r="D26" s="240">
        <v>-3.2000000000000002E-3</v>
      </c>
    </row>
    <row r="27" spans="1:4" ht="15.75" customHeight="1" x14ac:dyDescent="0.25">
      <c r="A27" s="182" t="s">
        <v>226</v>
      </c>
      <c r="B27" s="236">
        <v>4.2500000000000003E-2</v>
      </c>
      <c r="C27" s="182" t="s">
        <v>500</v>
      </c>
      <c r="D27" s="241">
        <v>-3.3999999999999998E-3</v>
      </c>
    </row>
    <row r="28" spans="1:4" ht="15.75" customHeight="1" x14ac:dyDescent="0.25">
      <c r="A28" s="184" t="s">
        <v>227</v>
      </c>
      <c r="B28" s="242">
        <v>3.9699999999999999E-2</v>
      </c>
      <c r="C28" s="184" t="s">
        <v>500</v>
      </c>
      <c r="D28" s="240">
        <v>-2.8E-3</v>
      </c>
    </row>
    <row r="29" spans="1:4" ht="15.75" customHeight="1" x14ac:dyDescent="0.25">
      <c r="A29" s="182" t="s">
        <v>228</v>
      </c>
      <c r="B29" s="236">
        <v>3.5799999999999998E-2</v>
      </c>
      <c r="C29" s="182" t="s">
        <v>500</v>
      </c>
      <c r="D29" s="241">
        <v>-3.8999999999999998E-3</v>
      </c>
    </row>
    <row r="30" spans="1:4" ht="15.75" customHeight="1" x14ac:dyDescent="0.25">
      <c r="A30" s="184" t="s">
        <v>229</v>
      </c>
      <c r="B30" s="242">
        <v>3.4200000000000001E-2</v>
      </c>
      <c r="C30" s="184" t="s">
        <v>500</v>
      </c>
      <c r="D30" s="240">
        <v>-1.6000000000000001E-3</v>
      </c>
    </row>
    <row r="31" spans="1:4" ht="15.75" customHeight="1" x14ac:dyDescent="0.25">
      <c r="A31" s="182" t="s">
        <v>230</v>
      </c>
      <c r="B31" s="236">
        <v>3.0800000000000001E-2</v>
      </c>
      <c r="C31" s="182" t="s">
        <v>500</v>
      </c>
      <c r="D31" s="241">
        <v>-3.3999999999999998E-3</v>
      </c>
    </row>
    <row r="32" spans="1:4" ht="15.75" customHeight="1" x14ac:dyDescent="0.25">
      <c r="A32" s="184" t="s">
        <v>231</v>
      </c>
      <c r="B32" s="240">
        <v>2.7699999999999999E-2</v>
      </c>
      <c r="C32" s="184" t="s">
        <v>502</v>
      </c>
      <c r="D32" s="240">
        <v>-3.0999999999999999E-3</v>
      </c>
    </row>
    <row r="33" spans="1:4" ht="15.75" customHeight="1" x14ac:dyDescent="0.25">
      <c r="A33" s="182" t="s">
        <v>232</v>
      </c>
      <c r="B33" s="241">
        <v>2.52E-2</v>
      </c>
      <c r="C33" s="182" t="s">
        <v>502</v>
      </c>
      <c r="D33" s="241">
        <v>-2.5000000000000001E-3</v>
      </c>
    </row>
    <row r="34" spans="1:4" ht="15.75" customHeight="1" x14ac:dyDescent="0.25">
      <c r="A34" s="184" t="s">
        <v>233</v>
      </c>
      <c r="B34" s="240">
        <v>2.46E-2</v>
      </c>
      <c r="C34" s="184" t="s">
        <v>502</v>
      </c>
      <c r="D34" s="240">
        <v>-5.9999999999999995E-4</v>
      </c>
    </row>
    <row r="35" spans="1:4" ht="15.75" customHeight="1" x14ac:dyDescent="0.25">
      <c r="A35" s="182" t="s">
        <v>234</v>
      </c>
      <c r="B35" s="241">
        <v>2.3400000000000001E-2</v>
      </c>
      <c r="C35" s="182" t="s">
        <v>502</v>
      </c>
      <c r="D35" s="241">
        <v>-1.1999999999999999E-3</v>
      </c>
    </row>
    <row r="36" spans="1:4" ht="15.75" customHeight="1" x14ac:dyDescent="0.25">
      <c r="A36" s="184" t="s">
        <v>235</v>
      </c>
      <c r="B36" s="240">
        <v>2.3099999999999999E-2</v>
      </c>
      <c r="C36" s="184" t="s">
        <v>502</v>
      </c>
      <c r="D36" s="240">
        <v>-3.0000000000000198E-4</v>
      </c>
    </row>
    <row r="37" spans="1:4" ht="15.75" customHeight="1" x14ac:dyDescent="0.25">
      <c r="A37" s="182" t="s">
        <v>236</v>
      </c>
      <c r="B37" s="241">
        <v>1.95E-2</v>
      </c>
      <c r="C37" s="182" t="s">
        <v>502</v>
      </c>
      <c r="D37" s="241">
        <v>-3.5999999999999999E-3</v>
      </c>
    </row>
    <row r="38" spans="1:4" ht="15.75" customHeight="1" x14ac:dyDescent="0.25">
      <c r="A38" s="184" t="s">
        <v>238</v>
      </c>
      <c r="B38" s="240">
        <v>1.6400000000000001E-2</v>
      </c>
      <c r="C38" s="184" t="s">
        <v>502</v>
      </c>
      <c r="D38" s="240">
        <v>-3.0999999999999999E-3</v>
      </c>
    </row>
    <row r="39" spans="1:4" ht="15.75" customHeight="1" x14ac:dyDescent="0.25">
      <c r="A39" s="182" t="s">
        <v>239</v>
      </c>
      <c r="B39" s="241">
        <v>1.46E-2</v>
      </c>
      <c r="C39" s="182" t="s">
        <v>502</v>
      </c>
      <c r="D39" s="241">
        <v>-1.8E-3</v>
      </c>
    </row>
    <row r="40" spans="1:4" ht="15.75" customHeight="1" x14ac:dyDescent="0.25">
      <c r="A40" s="184" t="s">
        <v>240</v>
      </c>
      <c r="B40" s="240">
        <v>1.38E-2</v>
      </c>
      <c r="C40" s="184" t="s">
        <v>502</v>
      </c>
      <c r="D40" s="240">
        <v>-8.0000000000000004E-4</v>
      </c>
    </row>
    <row r="41" spans="1:4" ht="15.75" customHeight="1" x14ac:dyDescent="0.25">
      <c r="A41" s="182" t="s">
        <v>241</v>
      </c>
      <c r="B41" s="241">
        <v>1.2200000000000001E-2</v>
      </c>
      <c r="C41" s="182" t="s">
        <v>502</v>
      </c>
      <c r="D41" s="241">
        <v>-1.6000000000000001E-3</v>
      </c>
    </row>
    <row r="42" spans="1:4" ht="15.75" customHeight="1" x14ac:dyDescent="0.25">
      <c r="A42" s="184" t="s">
        <v>242</v>
      </c>
      <c r="B42" s="240">
        <v>9.2999999999999992E-3</v>
      </c>
      <c r="C42" s="184" t="s">
        <v>502</v>
      </c>
      <c r="D42" s="240">
        <v>-2.8999999999999998E-3</v>
      </c>
    </row>
    <row r="43" spans="1:4" ht="15.75" customHeight="1" x14ac:dyDescent="0.25">
      <c r="A43" s="182" t="s">
        <v>243</v>
      </c>
      <c r="B43" s="241">
        <v>7.3000000000000001E-3</v>
      </c>
      <c r="C43" s="182" t="s">
        <v>502</v>
      </c>
      <c r="D43" s="241">
        <v>-2E-3</v>
      </c>
    </row>
    <row r="44" spans="1:4" ht="15.75" customHeight="1" x14ac:dyDescent="0.25">
      <c r="A44" s="184" t="s">
        <v>244</v>
      </c>
      <c r="B44" s="240">
        <v>5.7999999999999996E-3</v>
      </c>
      <c r="C44" s="184" t="s">
        <v>502</v>
      </c>
      <c r="D44" s="240">
        <v>-1.5E-3</v>
      </c>
    </row>
    <row r="45" spans="1:4" ht="15.75" customHeight="1" x14ac:dyDescent="0.25">
      <c r="A45" s="182" t="s">
        <v>245</v>
      </c>
      <c r="B45" s="241">
        <v>6.1000000000000004E-3</v>
      </c>
      <c r="C45" s="182" t="s">
        <v>502</v>
      </c>
      <c r="D45" s="239">
        <v>3.00000000000001E-4</v>
      </c>
    </row>
    <row r="46" spans="1:4" ht="15.75" customHeight="1" x14ac:dyDescent="0.25">
      <c r="A46" s="184" t="s">
        <v>246</v>
      </c>
      <c r="B46" s="240">
        <v>6.1999999999999998E-3</v>
      </c>
      <c r="C46" s="184" t="s">
        <v>502</v>
      </c>
      <c r="D46" s="238">
        <v>9.9999999999999395E-5</v>
      </c>
    </row>
    <row r="47" spans="1:4" ht="15.75" customHeight="1" x14ac:dyDescent="0.25">
      <c r="A47" s="182" t="s">
        <v>247</v>
      </c>
      <c r="B47" s="241">
        <v>6.8999999999999999E-3</v>
      </c>
      <c r="C47" s="182" t="s">
        <v>502</v>
      </c>
      <c r="D47" s="239">
        <v>6.9999999999999999E-4</v>
      </c>
    </row>
    <row r="48" spans="1:4" ht="15.75" customHeight="1" x14ac:dyDescent="0.25">
      <c r="A48" s="184" t="s">
        <v>248</v>
      </c>
      <c r="B48" s="240">
        <v>8.6999999999999994E-3</v>
      </c>
      <c r="C48" s="184" t="s">
        <v>502</v>
      </c>
      <c r="D48" s="238">
        <v>1.8E-3</v>
      </c>
    </row>
    <row r="49" spans="1:4" ht="15.75" customHeight="1" x14ac:dyDescent="0.25">
      <c r="A49" s="182" t="s">
        <v>249</v>
      </c>
      <c r="B49" s="241">
        <v>1.29E-2</v>
      </c>
      <c r="C49" s="182" t="s">
        <v>502</v>
      </c>
      <c r="D49" s="239">
        <v>4.1999999999999997E-3</v>
      </c>
    </row>
    <row r="50" spans="1:4" ht="15.75" customHeight="1" x14ac:dyDescent="0.25">
      <c r="A50" s="184" t="s">
        <v>250</v>
      </c>
      <c r="B50" s="240">
        <v>1.7399999999999999E-2</v>
      </c>
      <c r="C50" s="184" t="s">
        <v>502</v>
      </c>
      <c r="D50" s="238">
        <v>4.4999999999999997E-3</v>
      </c>
    </row>
    <row r="51" spans="1:4" ht="15.75" customHeight="1" x14ac:dyDescent="0.25">
      <c r="A51" s="182" t="s">
        <v>251</v>
      </c>
      <c r="B51" s="241">
        <v>2.0899999999999998E-2</v>
      </c>
      <c r="C51" s="182" t="s">
        <v>502</v>
      </c>
      <c r="D51" s="239">
        <v>3.5000000000000001E-3</v>
      </c>
    </row>
    <row r="52" spans="1:4" ht="15.75" customHeight="1" x14ac:dyDescent="0.25">
      <c r="A52" s="184" t="s">
        <v>252</v>
      </c>
      <c r="B52" s="240">
        <v>2.3099999999999999E-2</v>
      </c>
      <c r="C52" s="184" t="s">
        <v>502</v>
      </c>
      <c r="D52" s="238">
        <v>2.2000000000000001E-3</v>
      </c>
    </row>
    <row r="53" spans="1:4" ht="15.75" customHeight="1" x14ac:dyDescent="0.25">
      <c r="A53" s="182" t="s">
        <v>253</v>
      </c>
      <c r="B53" s="241">
        <v>2.46E-2</v>
      </c>
      <c r="C53" s="182" t="s">
        <v>502</v>
      </c>
      <c r="D53" s="239">
        <v>1.5E-3</v>
      </c>
    </row>
    <row r="54" spans="1:4" ht="15.75" customHeight="1" x14ac:dyDescent="0.25">
      <c r="A54" s="184" t="s">
        <v>254</v>
      </c>
      <c r="B54" s="240">
        <v>2.76E-2</v>
      </c>
      <c r="C54" s="184" t="s">
        <v>502</v>
      </c>
      <c r="D54" s="238">
        <v>3.0000000000000001E-3</v>
      </c>
    </row>
    <row r="55" spans="1:4" ht="15.75" customHeight="1" x14ac:dyDescent="0.25">
      <c r="A55" s="182" t="s">
        <v>255</v>
      </c>
      <c r="B55" s="241">
        <v>2.9899999999999999E-2</v>
      </c>
      <c r="C55" s="182" t="s">
        <v>502</v>
      </c>
      <c r="D55" s="239">
        <v>2.3E-3</v>
      </c>
    </row>
    <row r="56" spans="1:4" ht="15.75" customHeight="1" x14ac:dyDescent="0.25">
      <c r="A56" s="184" t="s">
        <v>256</v>
      </c>
      <c r="B56" s="242">
        <v>3.04E-2</v>
      </c>
      <c r="C56" s="184" t="s">
        <v>500</v>
      </c>
      <c r="D56" s="238">
        <v>5.0000000000000001E-4</v>
      </c>
    </row>
    <row r="57" spans="1:4" ht="15.75" customHeight="1" x14ac:dyDescent="0.25">
      <c r="A57" s="182" t="s">
        <v>257</v>
      </c>
      <c r="B57" s="241">
        <v>2.9700000000000001E-2</v>
      </c>
      <c r="C57" s="182" t="s">
        <v>502</v>
      </c>
      <c r="D57" s="241">
        <v>-6.9999999999999902E-4</v>
      </c>
    </row>
    <row r="58" spans="1:4" ht="15.75" customHeight="1" x14ac:dyDescent="0.25">
      <c r="A58" s="184" t="s">
        <v>258</v>
      </c>
      <c r="B58" s="242">
        <v>3.0700000000000002E-2</v>
      </c>
      <c r="C58" s="184" t="s">
        <v>500</v>
      </c>
      <c r="D58" s="238">
        <v>1E-3</v>
      </c>
    </row>
    <row r="59" spans="1:4" ht="15.75" customHeight="1" x14ac:dyDescent="0.25">
      <c r="A59" s="182" t="s">
        <v>259</v>
      </c>
      <c r="B59" s="236">
        <v>3.3000000000000002E-2</v>
      </c>
      <c r="C59" s="182" t="s">
        <v>500</v>
      </c>
      <c r="D59" s="239">
        <v>2.3E-3</v>
      </c>
    </row>
    <row r="60" spans="1:4" ht="15.75" customHeight="1" x14ac:dyDescent="0.25">
      <c r="A60" s="184" t="s">
        <v>260</v>
      </c>
      <c r="B60" s="242">
        <v>3.4000000000000002E-2</v>
      </c>
      <c r="C60" s="184" t="s">
        <v>500</v>
      </c>
      <c r="D60" s="238">
        <v>1E-3</v>
      </c>
    </row>
    <row r="61" spans="1:4" ht="15.75" customHeight="1" x14ac:dyDescent="0.25">
      <c r="A61" s="182" t="s">
        <v>261</v>
      </c>
      <c r="B61" s="236">
        <v>3.5099999999999999E-2</v>
      </c>
      <c r="C61" s="182" t="s">
        <v>500</v>
      </c>
      <c r="D61" s="239">
        <v>1.1000000000000001E-3</v>
      </c>
    </row>
    <row r="62" spans="1:4" ht="15.75" customHeight="1" x14ac:dyDescent="0.25">
      <c r="A62" s="184" t="s">
        <v>262</v>
      </c>
      <c r="B62" s="242">
        <v>3.5299999999999998E-2</v>
      </c>
      <c r="C62" s="184" t="s">
        <v>500</v>
      </c>
      <c r="D62" s="238">
        <v>1.9999999999999901E-4</v>
      </c>
    </row>
    <row r="63" spans="1:4" ht="15.75" customHeight="1" x14ac:dyDescent="0.25">
      <c r="A63" s="182" t="s">
        <v>263</v>
      </c>
      <c r="B63" s="236">
        <v>3.5999999999999997E-2</v>
      </c>
      <c r="C63" s="182" t="s">
        <v>500</v>
      </c>
      <c r="D63" s="239">
        <v>6.9999999999999902E-4</v>
      </c>
    </row>
    <row r="64" spans="1:4" ht="15.75" customHeight="1" x14ac:dyDescent="0.25">
      <c r="A64" s="184" t="s">
        <v>264</v>
      </c>
      <c r="B64" s="242">
        <v>3.6799999999999999E-2</v>
      </c>
      <c r="C64" s="184" t="s">
        <v>500</v>
      </c>
      <c r="D64" s="238">
        <v>8.0000000000000199E-4</v>
      </c>
    </row>
    <row r="65" spans="1:4" ht="15.75" customHeight="1" x14ac:dyDescent="0.25">
      <c r="A65" s="182" t="s">
        <v>266</v>
      </c>
      <c r="B65" s="236">
        <v>3.8600000000000002E-2</v>
      </c>
      <c r="C65" s="182" t="s">
        <v>500</v>
      </c>
      <c r="D65" s="239">
        <v>1.8E-3</v>
      </c>
    </row>
    <row r="66" spans="1:4" ht="15.75" customHeight="1" x14ac:dyDescent="0.25">
      <c r="A66" s="184" t="s">
        <v>267</v>
      </c>
      <c r="B66" s="242">
        <v>3.9800000000000002E-2</v>
      </c>
      <c r="C66" s="184" t="s">
        <v>500</v>
      </c>
      <c r="D66" s="238">
        <v>1.1999999999999999E-3</v>
      </c>
    </row>
    <row r="67" spans="1:4" ht="15.75" customHeight="1" x14ac:dyDescent="0.25">
      <c r="A67" s="182" t="s">
        <v>268</v>
      </c>
      <c r="B67" s="236">
        <v>4.2200000000000001E-2</v>
      </c>
      <c r="C67" s="182" t="s">
        <v>500</v>
      </c>
      <c r="D67" s="239">
        <v>2.3999999999999998E-3</v>
      </c>
    </row>
    <row r="68" spans="1:4" ht="15.75" customHeight="1" x14ac:dyDescent="0.25">
      <c r="A68" s="184" t="s">
        <v>269</v>
      </c>
      <c r="B68" s="242">
        <v>4.6100000000000002E-2</v>
      </c>
      <c r="C68" s="184" t="s">
        <v>500</v>
      </c>
      <c r="D68" s="238">
        <v>3.8999999999999998E-3</v>
      </c>
    </row>
    <row r="69" spans="1:4" ht="15.75" customHeight="1" x14ac:dyDescent="0.25">
      <c r="A69" s="182" t="s">
        <v>270</v>
      </c>
      <c r="B69" s="239">
        <v>5.0599999999999999E-2</v>
      </c>
      <c r="C69" s="182" t="s">
        <v>501</v>
      </c>
      <c r="D69" s="239">
        <v>4.4999999999999997E-3</v>
      </c>
    </row>
    <row r="70" spans="1:4" ht="15.75" customHeight="1" x14ac:dyDescent="0.25">
      <c r="A70" s="184" t="s">
        <v>271</v>
      </c>
      <c r="B70" s="238">
        <v>5.1200000000000002E-2</v>
      </c>
      <c r="C70" s="184" t="s">
        <v>501</v>
      </c>
      <c r="D70" s="238">
        <v>6.0000000000000298E-4</v>
      </c>
    </row>
    <row r="71" spans="1:4" ht="15.75" customHeight="1" x14ac:dyDescent="0.25">
      <c r="A71" s="182" t="s">
        <v>272</v>
      </c>
      <c r="B71" s="236">
        <v>4.9299999999999997E-2</v>
      </c>
      <c r="C71" s="182" t="s">
        <v>500</v>
      </c>
      <c r="D71" s="241">
        <v>-1.90000000000001E-3</v>
      </c>
    </row>
    <row r="72" spans="1:4" ht="15.75" customHeight="1" x14ac:dyDescent="0.25">
      <c r="A72" s="184" t="s">
        <v>273</v>
      </c>
      <c r="B72" s="242">
        <v>4.9500000000000002E-2</v>
      </c>
      <c r="C72" s="184" t="s">
        <v>500</v>
      </c>
      <c r="D72" s="238">
        <v>2.00000000000006E-4</v>
      </c>
    </row>
    <row r="73" spans="1:4" ht="15.75" customHeight="1" x14ac:dyDescent="0.25">
      <c r="A73" s="182" t="s">
        <v>274</v>
      </c>
      <c r="B73" s="236">
        <v>4.8899999999999999E-2</v>
      </c>
      <c r="C73" s="182" t="s">
        <v>500</v>
      </c>
      <c r="D73" s="241">
        <v>-6.0000000000000298E-4</v>
      </c>
    </row>
    <row r="74" spans="1:4" ht="15.75" customHeight="1" x14ac:dyDescent="0.25">
      <c r="A74" s="184" t="s">
        <v>275</v>
      </c>
      <c r="B74" s="242">
        <v>4.82E-2</v>
      </c>
      <c r="C74" s="184" t="s">
        <v>500</v>
      </c>
      <c r="D74" s="240">
        <v>-6.9999999999999902E-4</v>
      </c>
    </row>
    <row r="75" spans="1:4" ht="15.75" customHeight="1" x14ac:dyDescent="0.25">
      <c r="A75" s="182" t="s">
        <v>276</v>
      </c>
      <c r="B75" s="236">
        <v>4.8500000000000001E-2</v>
      </c>
      <c r="C75" s="182" t="s">
        <v>500</v>
      </c>
      <c r="D75" s="239">
        <v>3.0000000000000198E-4</v>
      </c>
    </row>
    <row r="76" spans="1:4" ht="15.75" customHeight="1" x14ac:dyDescent="0.25">
      <c r="A76" s="184" t="s">
        <v>277</v>
      </c>
      <c r="B76" s="242">
        <v>4.8599999999999997E-2</v>
      </c>
      <c r="C76" s="184" t="s">
        <v>500</v>
      </c>
      <c r="D76" s="238">
        <v>9.9999999999995898E-5</v>
      </c>
    </row>
    <row r="77" spans="1:4" ht="15.75" customHeight="1" x14ac:dyDescent="0.25">
      <c r="A77" s="182" t="s">
        <v>278</v>
      </c>
      <c r="B77" s="236">
        <v>4.9399999999999999E-2</v>
      </c>
      <c r="C77" s="182" t="s">
        <v>500</v>
      </c>
      <c r="D77" s="239">
        <v>8.0000000000000199E-4</v>
      </c>
    </row>
    <row r="78" spans="1:4" ht="15.75" customHeight="1" x14ac:dyDescent="0.25">
      <c r="A78" s="184" t="s">
        <v>279</v>
      </c>
      <c r="B78" s="238">
        <v>5.0500000000000003E-2</v>
      </c>
      <c r="C78" s="184" t="s">
        <v>501</v>
      </c>
      <c r="D78" s="238">
        <v>1.1000000000000001E-3</v>
      </c>
    </row>
    <row r="79" spans="1:4" ht="15.75" customHeight="1" x14ac:dyDescent="0.25">
      <c r="A79" s="182" t="s">
        <v>280</v>
      </c>
      <c r="B79" s="239">
        <v>5.0299999999999997E-2</v>
      </c>
      <c r="C79" s="182" t="s">
        <v>501</v>
      </c>
      <c r="D79" s="241">
        <v>-2.00000000000006E-4</v>
      </c>
    </row>
    <row r="80" spans="1:4" ht="15.75" customHeight="1" x14ac:dyDescent="0.25">
      <c r="A80" s="184" t="s">
        <v>282</v>
      </c>
      <c r="B80" s="242">
        <v>0.05</v>
      </c>
      <c r="C80" s="184" t="s">
        <v>501</v>
      </c>
      <c r="D80" s="240">
        <v>-2.9999999999999499E-4</v>
      </c>
    </row>
    <row r="81" spans="1:4" ht="15.75" customHeight="1" x14ac:dyDescent="0.25">
      <c r="A81" s="182" t="s">
        <v>283</v>
      </c>
      <c r="B81" s="236">
        <v>4.7399999999999998E-2</v>
      </c>
      <c r="C81" s="182" t="s">
        <v>500</v>
      </c>
      <c r="D81" s="241">
        <v>-2.6000000000000099E-3</v>
      </c>
    </row>
    <row r="82" spans="1:4" ht="15.75" customHeight="1" x14ac:dyDescent="0.25">
      <c r="A82" s="184" t="s">
        <v>284</v>
      </c>
      <c r="B82" s="242">
        <v>4.8000000000000001E-2</v>
      </c>
      <c r="C82" s="184" t="s">
        <v>500</v>
      </c>
      <c r="D82" s="238">
        <v>6.0000000000000298E-4</v>
      </c>
    </row>
    <row r="83" spans="1:4" ht="15.75" customHeight="1" x14ac:dyDescent="0.25">
      <c r="A83" s="182" t="s">
        <v>285</v>
      </c>
      <c r="B83" s="239">
        <v>5.1900000000000002E-2</v>
      </c>
      <c r="C83" s="182" t="s">
        <v>501</v>
      </c>
      <c r="D83" s="239">
        <v>3.8999999999999998E-3</v>
      </c>
    </row>
    <row r="84" spans="1:4" ht="15.75" customHeight="1" x14ac:dyDescent="0.25">
      <c r="A84" s="184" t="s">
        <v>286</v>
      </c>
      <c r="B84" s="238">
        <v>5.3499999999999999E-2</v>
      </c>
      <c r="C84" s="184" t="s">
        <v>501</v>
      </c>
      <c r="D84" s="238">
        <v>1.6000000000000001E-3</v>
      </c>
    </row>
    <row r="85" spans="1:4" ht="15.75" customHeight="1" x14ac:dyDescent="0.25">
      <c r="A85" s="182" t="s">
        <v>287</v>
      </c>
      <c r="B85" s="239">
        <v>5.45E-2</v>
      </c>
      <c r="C85" s="182" t="s">
        <v>501</v>
      </c>
      <c r="D85" s="239">
        <v>1E-3</v>
      </c>
    </row>
    <row r="86" spans="1:4" ht="15.75" customHeight="1" x14ac:dyDescent="0.25">
      <c r="A86" s="184" t="s">
        <v>288</v>
      </c>
      <c r="B86" s="238">
        <v>5.6000000000000001E-2</v>
      </c>
      <c r="C86" s="184" t="s">
        <v>501</v>
      </c>
      <c r="D86" s="238">
        <v>1.5E-3</v>
      </c>
    </row>
    <row r="87" spans="1:4" ht="15.75" customHeight="1" x14ac:dyDescent="0.25">
      <c r="A87" s="182" t="s">
        <v>289</v>
      </c>
      <c r="B87" s="239">
        <v>5.6599999999999998E-2</v>
      </c>
      <c r="C87" s="182" t="s">
        <v>501</v>
      </c>
      <c r="D87" s="239">
        <v>5.9999999999999604E-4</v>
      </c>
    </row>
    <row r="88" spans="1:4" ht="15.75" customHeight="1" x14ac:dyDescent="0.25">
      <c r="A88" s="184" t="s">
        <v>290</v>
      </c>
      <c r="B88" s="238">
        <v>5.74E-2</v>
      </c>
      <c r="C88" s="184" t="s">
        <v>501</v>
      </c>
      <c r="D88" s="238">
        <v>8.0000000000000199E-4</v>
      </c>
    </row>
    <row r="89" spans="1:4" ht="15.75" customHeight="1" x14ac:dyDescent="0.25">
      <c r="A89" s="182" t="s">
        <v>291</v>
      </c>
      <c r="B89" s="239">
        <v>5.7099999999999998E-2</v>
      </c>
      <c r="C89" s="182" t="s">
        <v>501</v>
      </c>
      <c r="D89" s="241">
        <v>-3.0000000000000198E-4</v>
      </c>
    </row>
    <row r="90" spans="1:4" ht="15.75" customHeight="1" x14ac:dyDescent="0.25">
      <c r="A90" s="184" t="s">
        <v>292</v>
      </c>
      <c r="B90" s="238">
        <v>5.5399999999999998E-2</v>
      </c>
      <c r="C90" s="184" t="s">
        <v>501</v>
      </c>
      <c r="D90" s="240">
        <v>-1.6999999999999999E-3</v>
      </c>
    </row>
    <row r="91" spans="1:4" ht="15.75" customHeight="1" x14ac:dyDescent="0.25">
      <c r="A91" s="182" t="s">
        <v>293</v>
      </c>
      <c r="B91" s="239">
        <v>5.3699999999999998E-2</v>
      </c>
      <c r="C91" s="182" t="s">
        <v>501</v>
      </c>
      <c r="D91" s="241">
        <v>-1.6999999999999999E-3</v>
      </c>
    </row>
    <row r="92" spans="1:4" ht="15.75" customHeight="1" x14ac:dyDescent="0.25">
      <c r="A92" s="184" t="s">
        <v>294</v>
      </c>
      <c r="B92" s="238">
        <v>5.0799999999999998E-2</v>
      </c>
      <c r="C92" s="184" t="s">
        <v>501</v>
      </c>
      <c r="D92" s="240">
        <v>-2.8999999999999998E-3</v>
      </c>
    </row>
    <row r="93" spans="1:4" ht="15.75" customHeight="1" x14ac:dyDescent="0.25">
      <c r="A93" s="182" t="s">
        <v>295</v>
      </c>
      <c r="B93" s="239">
        <v>5.3100000000000001E-2</v>
      </c>
      <c r="C93" s="182" t="s">
        <v>501</v>
      </c>
      <c r="D93" s="239">
        <v>2.3E-3</v>
      </c>
    </row>
    <row r="94" spans="1:4" ht="15.75" customHeight="1" x14ac:dyDescent="0.25">
      <c r="A94" s="184" t="s">
        <v>296</v>
      </c>
      <c r="B94" s="238">
        <v>5.4100000000000002E-2</v>
      </c>
      <c r="C94" s="184" t="s">
        <v>501</v>
      </c>
      <c r="D94" s="238">
        <v>1E-3</v>
      </c>
    </row>
    <row r="95" spans="1:4" ht="15.75" customHeight="1" x14ac:dyDescent="0.25">
      <c r="A95" s="182" t="s">
        <v>297</v>
      </c>
      <c r="B95" s="239">
        <v>5.1400000000000001E-2</v>
      </c>
      <c r="C95" s="182" t="s">
        <v>501</v>
      </c>
      <c r="D95" s="241">
        <v>-2.7000000000000001E-3</v>
      </c>
    </row>
    <row r="96" spans="1:4" ht="15.75" customHeight="1" x14ac:dyDescent="0.25">
      <c r="A96" s="184" t="s">
        <v>298</v>
      </c>
      <c r="B96" s="242">
        <v>4.9200000000000001E-2</v>
      </c>
      <c r="C96" s="184" t="s">
        <v>500</v>
      </c>
      <c r="D96" s="240">
        <v>-2.2000000000000001E-3</v>
      </c>
    </row>
    <row r="97" spans="1:4" ht="15.75" customHeight="1" x14ac:dyDescent="0.25">
      <c r="A97" s="182" t="s">
        <v>299</v>
      </c>
      <c r="B97" s="236">
        <v>4.6399999999999997E-2</v>
      </c>
      <c r="C97" s="182" t="s">
        <v>500</v>
      </c>
      <c r="D97" s="241">
        <v>-2.8E-3</v>
      </c>
    </row>
    <row r="98" spans="1:4" ht="15.75" customHeight="1" x14ac:dyDescent="0.25">
      <c r="A98" s="184" t="s">
        <v>300</v>
      </c>
      <c r="B98" s="242">
        <v>4.3700000000000003E-2</v>
      </c>
      <c r="C98" s="184" t="s">
        <v>500</v>
      </c>
      <c r="D98" s="240">
        <v>-2.6999999999999902E-3</v>
      </c>
    </row>
    <row r="99" spans="1:4" ht="15.75" customHeight="1" x14ac:dyDescent="0.25">
      <c r="A99" s="182" t="s">
        <v>301</v>
      </c>
      <c r="B99" s="236">
        <v>4.1599999999999998E-2</v>
      </c>
      <c r="C99" s="182" t="s">
        <v>500</v>
      </c>
      <c r="D99" s="241">
        <v>-2.1000000000000098E-3</v>
      </c>
    </row>
    <row r="100" spans="1:4" ht="15.75" customHeight="1" x14ac:dyDescent="0.25">
      <c r="A100" s="184" t="s">
        <v>302</v>
      </c>
      <c r="B100" s="242">
        <v>3.9100000000000003E-2</v>
      </c>
      <c r="C100" s="184" t="s">
        <v>500</v>
      </c>
      <c r="D100" s="240">
        <v>-2.5000000000000001E-3</v>
      </c>
    </row>
    <row r="101" spans="1:4" ht="15.75" customHeight="1" x14ac:dyDescent="0.25">
      <c r="A101" s="182" t="s">
        <v>303</v>
      </c>
      <c r="B101" s="236">
        <v>3.78E-2</v>
      </c>
      <c r="C101" s="182" t="s">
        <v>500</v>
      </c>
      <c r="D101" s="241">
        <v>-1.2999999999999999E-3</v>
      </c>
    </row>
    <row r="102" spans="1:4" ht="15.75" customHeight="1" x14ac:dyDescent="0.25">
      <c r="A102" s="184" t="s">
        <v>304</v>
      </c>
      <c r="B102" s="242">
        <v>3.73E-2</v>
      </c>
      <c r="C102" s="184" t="s">
        <v>500</v>
      </c>
      <c r="D102" s="240">
        <v>-5.0000000000000001E-4</v>
      </c>
    </row>
    <row r="103" spans="1:4" ht="15.75" customHeight="1" x14ac:dyDescent="0.25">
      <c r="A103" s="182" t="s">
        <v>305</v>
      </c>
      <c r="B103" s="236">
        <v>3.7100000000000001E-2</v>
      </c>
      <c r="C103" s="182" t="s">
        <v>500</v>
      </c>
      <c r="D103" s="241">
        <v>-1.9999999999999901E-4</v>
      </c>
    </row>
    <row r="104" spans="1:4" ht="15.75" customHeight="1" x14ac:dyDescent="0.25">
      <c r="A104" s="184" t="s">
        <v>306</v>
      </c>
      <c r="B104" s="242">
        <v>3.8800000000000001E-2</v>
      </c>
      <c r="C104" s="184" t="s">
        <v>500</v>
      </c>
      <c r="D104" s="238">
        <v>1.6999999999999999E-3</v>
      </c>
    </row>
    <row r="105" spans="1:4" ht="15.75" customHeight="1" x14ac:dyDescent="0.25">
      <c r="A105" s="182" t="s">
        <v>307</v>
      </c>
      <c r="B105" s="236">
        <v>3.6900000000000002E-2</v>
      </c>
      <c r="C105" s="182" t="s">
        <v>500</v>
      </c>
      <c r="D105" s="241">
        <v>-1.9E-3</v>
      </c>
    </row>
    <row r="106" spans="1:4" ht="15.75" customHeight="1" x14ac:dyDescent="0.25">
      <c r="A106" s="184" t="s">
        <v>308</v>
      </c>
      <c r="B106" s="242">
        <v>3.49E-2</v>
      </c>
      <c r="C106" s="184" t="s">
        <v>500</v>
      </c>
      <c r="D106" s="240">
        <v>-2E-3</v>
      </c>
    </row>
    <row r="107" spans="1:4" ht="15.75" customHeight="1" x14ac:dyDescent="0.25">
      <c r="A107" s="182" t="s">
        <v>309</v>
      </c>
      <c r="B107" s="236">
        <v>3.5999999999999997E-2</v>
      </c>
      <c r="C107" s="182" t="s">
        <v>500</v>
      </c>
      <c r="D107" s="239">
        <v>1.1000000000000001E-3</v>
      </c>
    </row>
    <row r="108" spans="1:4" ht="15.75" customHeight="1" x14ac:dyDescent="0.25">
      <c r="A108" s="184" t="s">
        <v>310</v>
      </c>
      <c r="B108" s="242">
        <v>3.7499999999999999E-2</v>
      </c>
      <c r="C108" s="184" t="s">
        <v>500</v>
      </c>
      <c r="D108" s="238">
        <v>1.5E-3</v>
      </c>
    </row>
    <row r="109" spans="1:4" ht="15.75" customHeight="1" x14ac:dyDescent="0.25">
      <c r="A109" s="182" t="s">
        <v>311</v>
      </c>
      <c r="B109" s="236">
        <v>3.9699999999999999E-2</v>
      </c>
      <c r="C109" s="182" t="s">
        <v>500</v>
      </c>
      <c r="D109" s="239">
        <v>2.2000000000000001E-3</v>
      </c>
    </row>
    <row r="110" spans="1:4" ht="15.75" customHeight="1" x14ac:dyDescent="0.25">
      <c r="A110" s="184" t="s">
        <v>312</v>
      </c>
      <c r="B110" s="242">
        <v>4.2000000000000003E-2</v>
      </c>
      <c r="C110" s="184" t="s">
        <v>500</v>
      </c>
      <c r="D110" s="238">
        <v>2.3E-3</v>
      </c>
    </row>
    <row r="111" spans="1:4" ht="15.75" customHeight="1" x14ac:dyDescent="0.25">
      <c r="A111" s="182" t="s">
        <v>313</v>
      </c>
      <c r="B111" s="236">
        <v>4.3200000000000002E-2</v>
      </c>
      <c r="C111" s="182" t="s">
        <v>500</v>
      </c>
      <c r="D111" s="239">
        <v>1.1999999999999999E-3</v>
      </c>
    </row>
    <row r="112" spans="1:4" ht="15.75" customHeight="1" x14ac:dyDescent="0.25">
      <c r="A112" s="184" t="s">
        <v>314</v>
      </c>
      <c r="B112" s="242">
        <v>4.5199999999999997E-2</v>
      </c>
      <c r="C112" s="184" t="s">
        <v>500</v>
      </c>
      <c r="D112" s="238">
        <v>2E-3</v>
      </c>
    </row>
    <row r="113" spans="1:4" ht="15.75" customHeight="1" x14ac:dyDescent="0.25">
      <c r="A113" s="182" t="s">
        <v>315</v>
      </c>
      <c r="B113" s="236">
        <v>4.8599999999999997E-2</v>
      </c>
      <c r="C113" s="182" t="s">
        <v>500</v>
      </c>
      <c r="D113" s="239">
        <v>3.3999999999999998E-3</v>
      </c>
    </row>
    <row r="114" spans="1:4" ht="15.75" customHeight="1" x14ac:dyDescent="0.25">
      <c r="A114" s="184" t="s">
        <v>316</v>
      </c>
      <c r="B114" s="238">
        <v>5.3499999999999999E-2</v>
      </c>
      <c r="C114" s="184" t="s">
        <v>501</v>
      </c>
      <c r="D114" s="238">
        <v>4.8999999999999998E-3</v>
      </c>
    </row>
    <row r="115" spans="1:4" ht="15.75" customHeight="1" x14ac:dyDescent="0.25">
      <c r="A115" s="182" t="s">
        <v>317</v>
      </c>
      <c r="B115" s="239">
        <v>5.91E-2</v>
      </c>
      <c r="C115" s="182" t="s">
        <v>501</v>
      </c>
      <c r="D115" s="239">
        <v>5.5999999999999999E-3</v>
      </c>
    </row>
    <row r="116" spans="1:4" ht="15.75" customHeight="1" x14ac:dyDescent="0.25">
      <c r="A116" s="184" t="s">
        <v>318</v>
      </c>
      <c r="B116" s="238">
        <v>6.4500000000000002E-2</v>
      </c>
      <c r="C116" s="184" t="s">
        <v>501</v>
      </c>
      <c r="D116" s="238">
        <v>5.4000000000000003E-3</v>
      </c>
    </row>
    <row r="117" spans="1:4" ht="15.75" customHeight="1" x14ac:dyDescent="0.25">
      <c r="A117" s="182" t="s">
        <v>319</v>
      </c>
      <c r="B117" s="239">
        <v>6.8699999999999997E-2</v>
      </c>
      <c r="C117" s="182" t="s">
        <v>501</v>
      </c>
      <c r="D117" s="239">
        <v>4.1999999999999997E-3</v>
      </c>
    </row>
    <row r="118" spans="1:4" ht="15.75" customHeight="1" x14ac:dyDescent="0.25">
      <c r="A118" s="184" t="s">
        <v>320</v>
      </c>
      <c r="B118" s="238">
        <v>7.2900000000000006E-2</v>
      </c>
      <c r="C118" s="184" t="s">
        <v>501</v>
      </c>
      <c r="D118" s="238">
        <v>4.2000000000000101E-3</v>
      </c>
    </row>
    <row r="119" spans="1:4" ht="15.75" customHeight="1" x14ac:dyDescent="0.25">
      <c r="A119" s="182" t="s">
        <v>321</v>
      </c>
      <c r="B119" s="239">
        <v>7.5300000000000006E-2</v>
      </c>
      <c r="C119" s="182" t="s">
        <v>501</v>
      </c>
      <c r="D119" s="239">
        <v>2.3999999999999998E-3</v>
      </c>
    </row>
    <row r="120" spans="1:4" ht="15.75" customHeight="1" x14ac:dyDescent="0.25">
      <c r="A120" s="184" t="s">
        <v>322</v>
      </c>
      <c r="B120" s="238">
        <v>7.6499999999999999E-2</v>
      </c>
      <c r="C120" s="184" t="s">
        <v>501</v>
      </c>
      <c r="D120" s="238">
        <v>1.1999999999999899E-3</v>
      </c>
    </row>
    <row r="121" spans="1:4" ht="15.75" customHeight="1" x14ac:dyDescent="0.25">
      <c r="A121" s="182" t="s">
        <v>323</v>
      </c>
      <c r="B121" s="239">
        <v>7.9500000000000001E-2</v>
      </c>
      <c r="C121" s="182" t="s">
        <v>501</v>
      </c>
      <c r="D121" s="239">
        <v>3.0000000000000001E-3</v>
      </c>
    </row>
    <row r="122" spans="1:4" ht="15.75" customHeight="1" x14ac:dyDescent="0.25">
      <c r="A122" s="184" t="s">
        <v>324</v>
      </c>
      <c r="B122" s="238">
        <v>8.3199999999999996E-2</v>
      </c>
      <c r="C122" s="184" t="s">
        <v>503</v>
      </c>
      <c r="D122" s="238">
        <v>3.7000000000000002E-3</v>
      </c>
    </row>
    <row r="123" spans="1:4" ht="15.75" customHeight="1" x14ac:dyDescent="0.25">
      <c r="A123" s="182" t="s">
        <v>325</v>
      </c>
      <c r="B123" s="239">
        <v>8.5800000000000001E-2</v>
      </c>
      <c r="C123" s="182" t="s">
        <v>503</v>
      </c>
      <c r="D123" s="239">
        <v>2.6000000000000099E-3</v>
      </c>
    </row>
    <row r="124" spans="1:4" ht="15.75" customHeight="1" x14ac:dyDescent="0.25">
      <c r="A124" s="184" t="s">
        <v>326</v>
      </c>
      <c r="B124" s="238">
        <v>8.8900000000000007E-2</v>
      </c>
      <c r="C124" s="184" t="s">
        <v>503</v>
      </c>
      <c r="D124" s="238">
        <v>3.1000000000000099E-3</v>
      </c>
    </row>
    <row r="125" spans="1:4" ht="15.75" customHeight="1" x14ac:dyDescent="0.25">
      <c r="A125" s="182" t="s">
        <v>327</v>
      </c>
      <c r="B125" s="239">
        <v>8.9099999999999999E-2</v>
      </c>
      <c r="C125" s="182" t="s">
        <v>503</v>
      </c>
      <c r="D125" s="239">
        <v>1.9999999999999199E-4</v>
      </c>
    </row>
    <row r="126" spans="1:4" ht="15.75" customHeight="1" x14ac:dyDescent="0.25">
      <c r="A126" s="184" t="s">
        <v>328</v>
      </c>
      <c r="B126" s="238">
        <v>8.5599999999999996E-2</v>
      </c>
      <c r="C126" s="184" t="s">
        <v>503</v>
      </c>
      <c r="D126" s="240">
        <v>-3.5000000000000001E-3</v>
      </c>
    </row>
    <row r="127" spans="1:4" ht="15.75" customHeight="1" x14ac:dyDescent="0.25">
      <c r="A127" s="182" t="s">
        <v>329</v>
      </c>
      <c r="B127" s="239">
        <v>8.0699999999999994E-2</v>
      </c>
      <c r="C127" s="182" t="s">
        <v>503</v>
      </c>
      <c r="D127" s="241">
        <v>-4.8999999999999998E-3</v>
      </c>
    </row>
    <row r="128" spans="1:4" ht="15.75" customHeight="1" x14ac:dyDescent="0.25">
      <c r="A128" s="184" t="s">
        <v>330</v>
      </c>
      <c r="B128" s="238">
        <v>7.3999999999999996E-2</v>
      </c>
      <c r="C128" s="184" t="s">
        <v>501</v>
      </c>
      <c r="D128" s="240">
        <v>-6.7000000000000002E-3</v>
      </c>
    </row>
    <row r="129" spans="1:4" ht="15.75" customHeight="1" x14ac:dyDescent="0.25">
      <c r="A129" s="182" t="s">
        <v>331</v>
      </c>
      <c r="B129" s="239">
        <v>6.93E-2</v>
      </c>
      <c r="C129" s="182" t="s">
        <v>501</v>
      </c>
      <c r="D129" s="241">
        <v>-4.7000000000000002E-3</v>
      </c>
    </row>
    <row r="130" spans="1:4" ht="15.75" customHeight="1" x14ac:dyDescent="0.25">
      <c r="A130" s="184" t="s">
        <v>332</v>
      </c>
      <c r="B130" s="238">
        <v>6.59E-2</v>
      </c>
      <c r="C130" s="184" t="s">
        <v>501</v>
      </c>
      <c r="D130" s="240">
        <v>-3.3999999999999998E-3</v>
      </c>
    </row>
    <row r="131" spans="1:4" ht="15.75" customHeight="1" x14ac:dyDescent="0.25">
      <c r="A131" s="182" t="s">
        <v>333</v>
      </c>
      <c r="B131" s="239">
        <v>6.1899999999999997E-2</v>
      </c>
      <c r="C131" s="182" t="s">
        <v>501</v>
      </c>
      <c r="D131" s="241">
        <v>-4.0000000000000001E-3</v>
      </c>
    </row>
    <row r="132" spans="1:4" ht="15.75" customHeight="1" x14ac:dyDescent="0.25">
      <c r="A132" s="184" t="s">
        <v>334</v>
      </c>
      <c r="B132" s="238">
        <v>5.8599999999999999E-2</v>
      </c>
      <c r="C132" s="184" t="s">
        <v>501</v>
      </c>
      <c r="D132" s="240">
        <v>-3.3E-3</v>
      </c>
    </row>
    <row r="133" spans="1:4" ht="15.75" customHeight="1" x14ac:dyDescent="0.25">
      <c r="A133" s="182" t="s">
        <v>335</v>
      </c>
      <c r="B133" s="239">
        <v>5.3199999999999997E-2</v>
      </c>
      <c r="C133" s="182" t="s">
        <v>501</v>
      </c>
      <c r="D133" s="241">
        <v>-5.4000000000000003E-3</v>
      </c>
    </row>
    <row r="134" spans="1:4" ht="15.75" customHeight="1" x14ac:dyDescent="0.25">
      <c r="A134" s="184" t="s">
        <v>336</v>
      </c>
      <c r="B134" s="242">
        <v>4.4999999999999998E-2</v>
      </c>
      <c r="C134" s="184" t="s">
        <v>500</v>
      </c>
      <c r="D134" s="240">
        <v>-8.2000000000000007E-3</v>
      </c>
    </row>
    <row r="135" spans="1:4" ht="15.75" customHeight="1" x14ac:dyDescent="0.25">
      <c r="A135" s="182" t="s">
        <v>337</v>
      </c>
      <c r="B135" s="236">
        <v>3.8899999999999997E-2</v>
      </c>
      <c r="C135" s="182" t="s">
        <v>500</v>
      </c>
      <c r="D135" s="241">
        <v>-6.1000000000000004E-3</v>
      </c>
    </row>
    <row r="136" spans="1:4" ht="15.75" customHeight="1" x14ac:dyDescent="0.25">
      <c r="A136" s="184" t="s">
        <v>338</v>
      </c>
      <c r="B136" s="242">
        <v>3.2599999999999997E-2</v>
      </c>
      <c r="C136" s="184" t="s">
        <v>500</v>
      </c>
      <c r="D136" s="240">
        <v>-6.3E-3</v>
      </c>
    </row>
    <row r="137" spans="1:4" ht="15.75" customHeight="1" x14ac:dyDescent="0.25">
      <c r="A137" s="182" t="s">
        <v>339</v>
      </c>
      <c r="B137" s="241">
        <v>2.6700000000000002E-2</v>
      </c>
      <c r="C137" s="182" t="s">
        <v>502</v>
      </c>
      <c r="D137" s="241">
        <v>-5.8999999999999999E-3</v>
      </c>
    </row>
    <row r="138" spans="1:4" ht="15.75" customHeight="1" x14ac:dyDescent="0.25">
      <c r="A138" s="184" t="s">
        <v>340</v>
      </c>
      <c r="B138" s="240">
        <v>2.2700000000000001E-2</v>
      </c>
      <c r="C138" s="184" t="s">
        <v>502</v>
      </c>
      <c r="D138" s="240">
        <v>-4.0000000000000001E-3</v>
      </c>
    </row>
    <row r="139" spans="1:4" ht="15.75" customHeight="1" x14ac:dyDescent="0.25">
      <c r="A139" s="182" t="s">
        <v>341</v>
      </c>
      <c r="B139" s="241">
        <v>1.9800000000000002E-2</v>
      </c>
      <c r="C139" s="182" t="s">
        <v>502</v>
      </c>
      <c r="D139" s="241">
        <v>-2.8999999999999998E-3</v>
      </c>
    </row>
    <row r="140" spans="1:4" ht="15.75" customHeight="1" x14ac:dyDescent="0.25">
      <c r="A140" s="184" t="s">
        <v>342</v>
      </c>
      <c r="B140" s="240">
        <v>1.78E-2</v>
      </c>
      <c r="C140" s="184" t="s">
        <v>502</v>
      </c>
      <c r="D140" s="240">
        <v>-2E-3</v>
      </c>
    </row>
    <row r="141" spans="1:4" ht="15.75" customHeight="1" x14ac:dyDescent="0.25">
      <c r="A141" s="182" t="s">
        <v>343</v>
      </c>
      <c r="B141" s="241">
        <v>1.6400000000000001E-2</v>
      </c>
      <c r="C141" s="182" t="s">
        <v>502</v>
      </c>
      <c r="D141" s="241">
        <v>-1.4E-3</v>
      </c>
    </row>
    <row r="142" spans="1:4" ht="15.75" customHeight="1" x14ac:dyDescent="0.25">
      <c r="A142" s="184" t="s">
        <v>344</v>
      </c>
      <c r="B142" s="240">
        <v>1.5100000000000001E-2</v>
      </c>
      <c r="C142" s="184" t="s">
        <v>502</v>
      </c>
      <c r="D142" s="240">
        <v>-1.2999999999999999E-3</v>
      </c>
    </row>
    <row r="143" spans="1:4" ht="15.75" customHeight="1" x14ac:dyDescent="0.25">
      <c r="A143" s="182" t="s">
        <v>345</v>
      </c>
      <c r="B143" s="241">
        <v>1.49E-2</v>
      </c>
      <c r="C143" s="182" t="s">
        <v>502</v>
      </c>
      <c r="D143" s="241">
        <v>-2.0000000000000101E-4</v>
      </c>
    </row>
    <row r="144" spans="1:4" ht="15.75" customHeight="1" x14ac:dyDescent="0.25">
      <c r="A144" s="184" t="s">
        <v>346</v>
      </c>
      <c r="B144" s="240">
        <v>1.4500000000000001E-2</v>
      </c>
      <c r="C144" s="184" t="s">
        <v>502</v>
      </c>
      <c r="D144" s="240">
        <v>-3.9999999999999899E-4</v>
      </c>
    </row>
    <row r="145" spans="1:4" ht="15.75" customHeight="1" x14ac:dyDescent="0.25">
      <c r="A145" s="182" t="s">
        <v>347</v>
      </c>
      <c r="B145" s="241">
        <v>1.6E-2</v>
      </c>
      <c r="C145" s="182" t="s">
        <v>502</v>
      </c>
      <c r="D145" s="239">
        <v>1.5E-3</v>
      </c>
    </row>
    <row r="146" spans="1:4" ht="15.75" customHeight="1" x14ac:dyDescent="0.25">
      <c r="A146" s="184" t="s">
        <v>348</v>
      </c>
      <c r="B146" s="240">
        <v>2.1000000000000001E-2</v>
      </c>
      <c r="C146" s="184" t="s">
        <v>502</v>
      </c>
      <c r="D146" s="238">
        <v>5.0000000000000001E-3</v>
      </c>
    </row>
    <row r="147" spans="1:4" ht="15.75" customHeight="1" x14ac:dyDescent="0.25">
      <c r="A147" s="182" t="s">
        <v>349</v>
      </c>
      <c r="B147" s="241">
        <v>2.58E-2</v>
      </c>
      <c r="C147" s="182" t="s">
        <v>502</v>
      </c>
      <c r="D147" s="239">
        <v>4.7999999999999996E-3</v>
      </c>
    </row>
    <row r="148" spans="1:4" ht="15.75" customHeight="1" x14ac:dyDescent="0.25">
      <c r="A148" s="184" t="s">
        <v>350</v>
      </c>
      <c r="B148" s="240">
        <v>2.92E-2</v>
      </c>
      <c r="C148" s="184" t="s">
        <v>502</v>
      </c>
      <c r="D148" s="238">
        <v>3.3999999999999998E-3</v>
      </c>
    </row>
    <row r="149" spans="1:4" ht="15.75" customHeight="1" x14ac:dyDescent="0.25">
      <c r="A149" s="182" t="s">
        <v>351</v>
      </c>
      <c r="B149" s="236">
        <v>3.2500000000000001E-2</v>
      </c>
      <c r="C149" s="182" t="s">
        <v>500</v>
      </c>
      <c r="D149" s="239">
        <v>3.3E-3</v>
      </c>
    </row>
    <row r="150" spans="1:4" ht="15.75" customHeight="1" x14ac:dyDescent="0.25">
      <c r="A150" s="184" t="s">
        <v>352</v>
      </c>
      <c r="B150" s="242">
        <v>3.6700000000000003E-2</v>
      </c>
      <c r="C150" s="184" t="s">
        <v>500</v>
      </c>
      <c r="D150" s="238">
        <v>4.1999999999999997E-3</v>
      </c>
    </row>
    <row r="151" spans="1:4" ht="15.75" customHeight="1" x14ac:dyDescent="0.25">
      <c r="A151" s="182" t="s">
        <v>353</v>
      </c>
      <c r="B151" s="236">
        <v>4.0599999999999997E-2</v>
      </c>
      <c r="C151" s="182" t="s">
        <v>500</v>
      </c>
      <c r="D151" s="239">
        <v>3.8999999999999898E-3</v>
      </c>
    </row>
    <row r="152" spans="1:4" ht="15.75" customHeight="1" x14ac:dyDescent="0.25">
      <c r="A152" s="184" t="s">
        <v>354</v>
      </c>
      <c r="B152" s="242">
        <v>4.48E-2</v>
      </c>
      <c r="C152" s="184" t="s">
        <v>500</v>
      </c>
      <c r="D152" s="238">
        <v>4.1999999999999997E-3</v>
      </c>
    </row>
    <row r="153" spans="1:4" ht="15.75" customHeight="1" x14ac:dyDescent="0.25">
      <c r="A153" s="182" t="s">
        <v>355</v>
      </c>
      <c r="B153" s="236">
        <v>4.8300000000000003E-2</v>
      </c>
      <c r="C153" s="182" t="s">
        <v>500</v>
      </c>
      <c r="D153" s="239">
        <v>3.5000000000000001E-3</v>
      </c>
    </row>
    <row r="154" spans="1:4" ht="15.75" customHeight="1" x14ac:dyDescent="0.25">
      <c r="A154" s="184" t="s">
        <v>356</v>
      </c>
      <c r="B154" s="242">
        <v>4.9700000000000001E-2</v>
      </c>
      <c r="C154" s="184" t="s">
        <v>500</v>
      </c>
      <c r="D154" s="238">
        <v>1.4E-3</v>
      </c>
    </row>
    <row r="155" spans="1:4" ht="15.75" customHeight="1" x14ac:dyDescent="0.25">
      <c r="A155" s="182" t="s">
        <v>357</v>
      </c>
      <c r="B155" s="236">
        <v>0.05</v>
      </c>
      <c r="C155" s="182" t="s">
        <v>501</v>
      </c>
      <c r="D155" s="239">
        <v>3.0000000000000198E-4</v>
      </c>
    </row>
    <row r="156" spans="1:4" ht="15.75" customHeight="1" x14ac:dyDescent="0.25">
      <c r="A156" s="184" t="s">
        <v>358</v>
      </c>
      <c r="B156" s="238">
        <v>5.1400000000000001E-2</v>
      </c>
      <c r="C156" s="184" t="s">
        <v>501</v>
      </c>
      <c r="D156" s="238">
        <v>1.4E-3</v>
      </c>
    </row>
    <row r="157" spans="1:4" ht="15.75" customHeight="1" x14ac:dyDescent="0.25">
      <c r="A157" s="182" t="s">
        <v>359</v>
      </c>
      <c r="B157" s="239">
        <v>5.3199999999999997E-2</v>
      </c>
      <c r="C157" s="182" t="s">
        <v>501</v>
      </c>
      <c r="D157" s="239">
        <v>1.8E-3</v>
      </c>
    </row>
    <row r="158" spans="1:4" ht="15.75" customHeight="1" x14ac:dyDescent="0.25">
      <c r="A158" s="184" t="s">
        <v>360</v>
      </c>
      <c r="B158" s="238">
        <v>5.11E-2</v>
      </c>
      <c r="C158" s="184" t="s">
        <v>501</v>
      </c>
      <c r="D158" s="240">
        <v>-2.0999999999999999E-3</v>
      </c>
    </row>
    <row r="159" spans="1:4" ht="15.75" customHeight="1" x14ac:dyDescent="0.25">
      <c r="A159" s="182" t="s">
        <v>361</v>
      </c>
      <c r="B159" s="236">
        <v>4.8599999999999997E-2</v>
      </c>
      <c r="C159" s="182" t="s">
        <v>500</v>
      </c>
      <c r="D159" s="241">
        <v>-2.5000000000000001E-3</v>
      </c>
    </row>
    <row r="160" spans="1:4" ht="15.75" customHeight="1" x14ac:dyDescent="0.25">
      <c r="A160" s="184" t="s">
        <v>362</v>
      </c>
      <c r="B160" s="242">
        <v>4.7800000000000002E-2</v>
      </c>
      <c r="C160" s="184" t="s">
        <v>500</v>
      </c>
      <c r="D160" s="240">
        <v>-7.9999999999999505E-4</v>
      </c>
    </row>
    <row r="161" spans="1:4" ht="15.75" customHeight="1" x14ac:dyDescent="0.25">
      <c r="A161" s="182" t="s">
        <v>363</v>
      </c>
      <c r="B161" s="236">
        <v>4.82E-2</v>
      </c>
      <c r="C161" s="182" t="s">
        <v>500</v>
      </c>
      <c r="D161" s="239">
        <v>3.9999999999999801E-4</v>
      </c>
    </row>
    <row r="162" spans="1:4" ht="15.75" customHeight="1" x14ac:dyDescent="0.25">
      <c r="A162" s="184" t="s">
        <v>364</v>
      </c>
      <c r="B162" s="242">
        <v>4.7E-2</v>
      </c>
      <c r="C162" s="184" t="s">
        <v>500</v>
      </c>
      <c r="D162" s="240">
        <v>-1.1999999999999999E-3</v>
      </c>
    </row>
    <row r="163" spans="1:4" ht="15.75" customHeight="1" x14ac:dyDescent="0.25">
      <c r="A163" s="182" t="s">
        <v>365</v>
      </c>
      <c r="B163" s="236">
        <v>4.6899999999999997E-2</v>
      </c>
      <c r="C163" s="182" t="s">
        <v>500</v>
      </c>
      <c r="D163" s="241">
        <v>-1.00000000000003E-4</v>
      </c>
    </row>
    <row r="164" spans="1:4" ht="15.75" customHeight="1" x14ac:dyDescent="0.25">
      <c r="A164" s="184" t="s">
        <v>366</v>
      </c>
      <c r="B164" s="242">
        <v>4.7699999999999999E-2</v>
      </c>
      <c r="C164" s="184" t="s">
        <v>500</v>
      </c>
      <c r="D164" s="238">
        <v>8.0000000000000199E-4</v>
      </c>
    </row>
    <row r="165" spans="1:4" ht="15.75" customHeight="1" x14ac:dyDescent="0.25">
      <c r="A165" s="182" t="s">
        <v>367</v>
      </c>
      <c r="B165" s="236">
        <v>4.87E-2</v>
      </c>
      <c r="C165" s="182" t="s">
        <v>500</v>
      </c>
      <c r="D165" s="239">
        <v>1E-3</v>
      </c>
    </row>
    <row r="166" spans="1:4" ht="15.75" customHeight="1" x14ac:dyDescent="0.25">
      <c r="A166" s="184" t="s">
        <v>368</v>
      </c>
      <c r="B166" s="238">
        <v>5.16E-2</v>
      </c>
      <c r="C166" s="184" t="s">
        <v>501</v>
      </c>
      <c r="D166" s="238">
        <v>2.8999999999999998E-3</v>
      </c>
    </row>
    <row r="167" spans="1:4" ht="15.75" customHeight="1" x14ac:dyDescent="0.25">
      <c r="A167" s="182" t="s">
        <v>369</v>
      </c>
      <c r="B167" s="239">
        <v>5.5300000000000002E-2</v>
      </c>
      <c r="C167" s="182" t="s">
        <v>501</v>
      </c>
      <c r="D167" s="239">
        <v>3.7000000000000002E-3</v>
      </c>
    </row>
    <row r="168" spans="1:4" ht="15.75" customHeight="1" x14ac:dyDescent="0.25">
      <c r="A168" s="184" t="s">
        <v>370</v>
      </c>
      <c r="B168" s="238">
        <v>5.7700000000000001E-2</v>
      </c>
      <c r="C168" s="184" t="s">
        <v>501</v>
      </c>
      <c r="D168" s="238">
        <v>2.3999999999999998E-3</v>
      </c>
    </row>
    <row r="169" spans="1:4" ht="15.75" customHeight="1" x14ac:dyDescent="0.25">
      <c r="A169" s="182" t="s">
        <v>371</v>
      </c>
      <c r="B169" s="239">
        <v>5.7200000000000001E-2</v>
      </c>
      <c r="C169" s="182" t="s">
        <v>501</v>
      </c>
      <c r="D169" s="241">
        <v>-5.0000000000000001E-4</v>
      </c>
    </row>
    <row r="170" spans="1:4" ht="15.75" customHeight="1" x14ac:dyDescent="0.25">
      <c r="A170" s="184" t="s">
        <v>372</v>
      </c>
      <c r="B170" s="238">
        <v>5.8400000000000001E-2</v>
      </c>
      <c r="C170" s="184" t="s">
        <v>501</v>
      </c>
      <c r="D170" s="238">
        <v>1.1999999999999999E-3</v>
      </c>
    </row>
    <row r="171" spans="1:4" ht="15.75" customHeight="1" x14ac:dyDescent="0.25">
      <c r="A171" s="182" t="s">
        <v>373</v>
      </c>
      <c r="B171" s="239">
        <v>6.1800000000000001E-2</v>
      </c>
      <c r="C171" s="182" t="s">
        <v>501</v>
      </c>
      <c r="D171" s="239">
        <v>3.3999999999999998E-3</v>
      </c>
    </row>
    <row r="172" spans="1:4" ht="15.75" customHeight="1" x14ac:dyDescent="0.25">
      <c r="A172" s="184" t="s">
        <v>374</v>
      </c>
      <c r="B172" s="238">
        <v>6.4000000000000001E-2</v>
      </c>
      <c r="C172" s="184" t="s">
        <v>501</v>
      </c>
      <c r="D172" s="238">
        <v>2.2000000000000001E-3</v>
      </c>
    </row>
    <row r="173" spans="1:4" ht="15.75" customHeight="1" x14ac:dyDescent="0.25">
      <c r="A173" s="182" t="s">
        <v>375</v>
      </c>
      <c r="B173" s="239">
        <v>6.6500000000000004E-2</v>
      </c>
      <c r="C173" s="182" t="s">
        <v>501</v>
      </c>
      <c r="D173" s="239">
        <v>2.5000000000000001E-3</v>
      </c>
    </row>
    <row r="174" spans="1:4" ht="15.75" customHeight="1" x14ac:dyDescent="0.25">
      <c r="A174" s="184" t="s">
        <v>376</v>
      </c>
      <c r="B174" s="238">
        <v>6.9400000000000003E-2</v>
      </c>
      <c r="C174" s="184" t="s">
        <v>501</v>
      </c>
      <c r="D174" s="238">
        <v>2.8999999999999998E-3</v>
      </c>
    </row>
    <row r="175" spans="1:4" ht="15.75" customHeight="1" x14ac:dyDescent="0.25">
      <c r="A175" s="182" t="s">
        <v>377</v>
      </c>
      <c r="B175" s="239">
        <v>7.0699999999999999E-2</v>
      </c>
      <c r="C175" s="182" t="s">
        <v>501</v>
      </c>
      <c r="D175" s="239">
        <v>1.2999999999999999E-3</v>
      </c>
    </row>
    <row r="176" spans="1:4" ht="15.75" customHeight="1" x14ac:dyDescent="0.25">
      <c r="A176" s="184" t="s">
        <v>378</v>
      </c>
      <c r="B176" s="238">
        <v>7.0300000000000001E-2</v>
      </c>
      <c r="C176" s="184" t="s">
        <v>501</v>
      </c>
      <c r="D176" s="240">
        <v>-3.9999999999999801E-4</v>
      </c>
    </row>
    <row r="177" spans="1:4" ht="15.75" customHeight="1" x14ac:dyDescent="0.25">
      <c r="A177" s="182" t="s">
        <v>379</v>
      </c>
      <c r="B177" s="239">
        <v>6.88E-2</v>
      </c>
      <c r="C177" s="182" t="s">
        <v>501</v>
      </c>
      <c r="D177" s="241">
        <v>-1.5E-3</v>
      </c>
    </row>
    <row r="178" spans="1:4" ht="15.75" customHeight="1" x14ac:dyDescent="0.25">
      <c r="A178" s="184" t="s">
        <v>380</v>
      </c>
      <c r="B178" s="238">
        <v>6.5500000000000003E-2</v>
      </c>
      <c r="C178" s="184" t="s">
        <v>501</v>
      </c>
      <c r="D178" s="240">
        <v>-3.3E-3</v>
      </c>
    </row>
    <row r="179" spans="1:4" ht="15.75" customHeight="1" x14ac:dyDescent="0.25">
      <c r="A179" s="182" t="s">
        <v>381</v>
      </c>
      <c r="B179" s="239">
        <v>6.1199999999999997E-2</v>
      </c>
      <c r="C179" s="182" t="s">
        <v>501</v>
      </c>
      <c r="D179" s="241">
        <v>-4.3000000000000104E-3</v>
      </c>
    </row>
    <row r="180" spans="1:4" ht="15.75" customHeight="1" x14ac:dyDescent="0.25">
      <c r="A180" s="184" t="s">
        <v>382</v>
      </c>
      <c r="B180" s="238">
        <v>5.8799999999999998E-2</v>
      </c>
      <c r="C180" s="184" t="s">
        <v>501</v>
      </c>
      <c r="D180" s="240">
        <v>-2.3999999999999998E-3</v>
      </c>
    </row>
    <row r="181" spans="1:4" ht="15.75" customHeight="1" x14ac:dyDescent="0.25">
      <c r="A181" s="182" t="s">
        <v>383</v>
      </c>
      <c r="B181" s="239">
        <v>5.8700000000000002E-2</v>
      </c>
      <c r="C181" s="182" t="s">
        <v>501</v>
      </c>
      <c r="D181" s="241">
        <v>-9.9999999999995898E-5</v>
      </c>
    </row>
    <row r="182" spans="1:4" ht="15.75" customHeight="1" x14ac:dyDescent="0.25">
      <c r="A182" s="184" t="s">
        <v>384</v>
      </c>
      <c r="B182" s="238">
        <v>5.9799999999999999E-2</v>
      </c>
      <c r="C182" s="184" t="s">
        <v>501</v>
      </c>
      <c r="D182" s="238">
        <v>1.1000000000000001E-3</v>
      </c>
    </row>
    <row r="183" spans="1:4" ht="15.75" customHeight="1" x14ac:dyDescent="0.25">
      <c r="A183" s="182" t="s">
        <v>385</v>
      </c>
      <c r="B183" s="239">
        <v>5.7599999999999998E-2</v>
      </c>
      <c r="C183" s="182" t="s">
        <v>501</v>
      </c>
      <c r="D183" s="241">
        <v>-2.2000000000000001E-3</v>
      </c>
    </row>
    <row r="184" spans="1:4" ht="15.75" customHeight="1" x14ac:dyDescent="0.25">
      <c r="A184" s="184" t="s">
        <v>386</v>
      </c>
      <c r="B184" s="238">
        <v>5.5899999999999998E-2</v>
      </c>
      <c r="C184" s="184" t="s">
        <v>501</v>
      </c>
      <c r="D184" s="240">
        <v>-1.6999999999999999E-3</v>
      </c>
    </row>
    <row r="185" spans="1:4" ht="15.75" customHeight="1" x14ac:dyDescent="0.25">
      <c r="A185" s="182" t="s">
        <v>387</v>
      </c>
      <c r="B185" s="239">
        <v>5.2200000000000003E-2</v>
      </c>
      <c r="C185" s="182" t="s">
        <v>501</v>
      </c>
      <c r="D185" s="241">
        <v>-3.7000000000000002E-3</v>
      </c>
    </row>
    <row r="186" spans="1:4" ht="15.75" customHeight="1" x14ac:dyDescent="0.25">
      <c r="A186" s="184" t="s">
        <v>388</v>
      </c>
      <c r="B186" s="242">
        <v>4.8800000000000003E-2</v>
      </c>
      <c r="C186" s="184" t="s">
        <v>500</v>
      </c>
      <c r="D186" s="240">
        <v>-3.3999999999999998E-3</v>
      </c>
    </row>
    <row r="187" spans="1:4" ht="15.75" customHeight="1" x14ac:dyDescent="0.25">
      <c r="A187" s="182" t="s">
        <v>389</v>
      </c>
      <c r="B187" s="236">
        <v>4.5699999999999998E-2</v>
      </c>
      <c r="C187" s="182" t="s">
        <v>500</v>
      </c>
      <c r="D187" s="241">
        <v>-3.1000000000000099E-3</v>
      </c>
    </row>
    <row r="188" spans="1:4" ht="15.75" customHeight="1" x14ac:dyDescent="0.25">
      <c r="A188" s="184" t="s">
        <v>390</v>
      </c>
      <c r="B188" s="242">
        <v>4.3299999999999998E-2</v>
      </c>
      <c r="C188" s="184" t="s">
        <v>500</v>
      </c>
      <c r="D188" s="240">
        <v>-2.3999999999999998E-3</v>
      </c>
    </row>
    <row r="189" spans="1:4" ht="15.75" customHeight="1" x14ac:dyDescent="0.25">
      <c r="A189" s="182" t="s">
        <v>391</v>
      </c>
      <c r="B189" s="236">
        <v>4.3700000000000003E-2</v>
      </c>
      <c r="C189" s="182" t="s">
        <v>500</v>
      </c>
      <c r="D189" s="239">
        <v>4.0000000000000501E-4</v>
      </c>
    </row>
    <row r="190" spans="1:4" ht="15.75" customHeight="1" x14ac:dyDescent="0.25">
      <c r="A190" s="184" t="s">
        <v>392</v>
      </c>
      <c r="B190" s="242">
        <v>4.58E-2</v>
      </c>
      <c r="C190" s="184" t="s">
        <v>500</v>
      </c>
      <c r="D190" s="238">
        <v>2.0999999999999999E-3</v>
      </c>
    </row>
    <row r="191" spans="1:4" ht="15.75" customHeight="1" x14ac:dyDescent="0.25">
      <c r="A191" s="182" t="s">
        <v>393</v>
      </c>
      <c r="B191" s="236">
        <v>4.8099999999999997E-2</v>
      </c>
      <c r="C191" s="182" t="s">
        <v>500</v>
      </c>
      <c r="D191" s="239">
        <v>2.3E-3</v>
      </c>
    </row>
    <row r="192" spans="1:4" ht="15.75" customHeight="1" x14ac:dyDescent="0.25">
      <c r="A192" s="184" t="s">
        <v>394</v>
      </c>
      <c r="B192" s="242">
        <v>4.82E-2</v>
      </c>
      <c r="C192" s="184" t="s">
        <v>500</v>
      </c>
      <c r="D192" s="238">
        <v>1.00000000000003E-4</v>
      </c>
    </row>
    <row r="193" spans="1:4" ht="15.75" customHeight="1" x14ac:dyDescent="0.25">
      <c r="A193" s="182" t="s">
        <v>395</v>
      </c>
      <c r="B193" s="236">
        <v>4.6899999999999997E-2</v>
      </c>
      <c r="C193" s="182" t="s">
        <v>500</v>
      </c>
      <c r="D193" s="241">
        <v>-1.2999999999999999E-3</v>
      </c>
    </row>
    <row r="194" spans="1:4" ht="15.75" customHeight="1" x14ac:dyDescent="0.25">
      <c r="A194" s="184" t="s">
        <v>396</v>
      </c>
      <c r="B194" s="242">
        <v>4.53E-2</v>
      </c>
      <c r="C194" s="184" t="s">
        <v>500</v>
      </c>
      <c r="D194" s="240">
        <v>-1.6000000000000001E-3</v>
      </c>
    </row>
    <row r="195" spans="1:4" ht="15.75" customHeight="1" x14ac:dyDescent="0.25">
      <c r="A195" s="182" t="s">
        <v>397</v>
      </c>
      <c r="B195" s="236">
        <v>4.4600000000000001E-2</v>
      </c>
      <c r="C195" s="182" t="s">
        <v>500</v>
      </c>
      <c r="D195" s="241">
        <v>-6.9999999999999902E-4</v>
      </c>
    </row>
    <row r="196" spans="1:4" ht="15.75" customHeight="1" x14ac:dyDescent="0.25">
      <c r="A196" s="184" t="s">
        <v>398</v>
      </c>
      <c r="B196" s="242">
        <v>4.2700000000000002E-2</v>
      </c>
      <c r="C196" s="184" t="s">
        <v>500</v>
      </c>
      <c r="D196" s="240">
        <v>-1.9E-3</v>
      </c>
    </row>
    <row r="197" spans="1:4" ht="15.75" customHeight="1" x14ac:dyDescent="0.25">
      <c r="A197" s="182" t="s">
        <v>399</v>
      </c>
      <c r="B197" s="236">
        <v>4.1799999999999997E-2</v>
      </c>
      <c r="C197" s="182" t="s">
        <v>500</v>
      </c>
      <c r="D197" s="241">
        <v>-9.0000000000000496E-4</v>
      </c>
    </row>
    <row r="198" spans="1:4" ht="15.75" customHeight="1" x14ac:dyDescent="0.25">
      <c r="A198" s="184" t="s">
        <v>400</v>
      </c>
      <c r="B198" s="242">
        <v>4.1099999999999998E-2</v>
      </c>
      <c r="C198" s="184" t="s">
        <v>500</v>
      </c>
      <c r="D198" s="240">
        <v>-6.9999999999999902E-4</v>
      </c>
    </row>
    <row r="199" spans="1:4" ht="15.75" customHeight="1" x14ac:dyDescent="0.25">
      <c r="A199" s="182" t="s">
        <v>401</v>
      </c>
      <c r="B199" s="236">
        <v>4.0800000000000003E-2</v>
      </c>
      <c r="C199" s="182" t="s">
        <v>500</v>
      </c>
      <c r="D199" s="241">
        <v>-2.9999999999999499E-4</v>
      </c>
    </row>
    <row r="200" spans="1:4" ht="15.75" customHeight="1" x14ac:dyDescent="0.25">
      <c r="A200" s="184" t="s">
        <v>402</v>
      </c>
      <c r="B200" s="242">
        <v>3.9899999999999998E-2</v>
      </c>
      <c r="C200" s="184" t="s">
        <v>500</v>
      </c>
      <c r="D200" s="240">
        <v>-9.0000000000000496E-4</v>
      </c>
    </row>
    <row r="201" spans="1:4" ht="15.75" customHeight="1" x14ac:dyDescent="0.25">
      <c r="A201" s="182" t="s">
        <v>403</v>
      </c>
      <c r="B201" s="236">
        <v>3.6400000000000002E-2</v>
      </c>
      <c r="C201" s="182" t="s">
        <v>500</v>
      </c>
      <c r="D201" s="241">
        <v>-3.5000000000000001E-3</v>
      </c>
    </row>
    <row r="202" spans="1:4" ht="15.75" customHeight="1" x14ac:dyDescent="0.25">
      <c r="A202" s="184" t="s">
        <v>404</v>
      </c>
      <c r="B202" s="242">
        <v>3.1E-2</v>
      </c>
      <c r="C202" s="184" t="s">
        <v>500</v>
      </c>
      <c r="D202" s="240">
        <v>-5.4000000000000003E-3</v>
      </c>
    </row>
    <row r="203" spans="1:4" ht="15.75" customHeight="1" x14ac:dyDescent="0.25">
      <c r="A203" s="182" t="s">
        <v>405</v>
      </c>
      <c r="B203" s="241">
        <v>2.7199999999999998E-2</v>
      </c>
      <c r="C203" s="182" t="s">
        <v>502</v>
      </c>
      <c r="D203" s="241">
        <v>-3.8E-3</v>
      </c>
    </row>
    <row r="204" spans="1:4" ht="15.75" customHeight="1" x14ac:dyDescent="0.25">
      <c r="A204" s="184" t="s">
        <v>406</v>
      </c>
      <c r="B204" s="240">
        <v>2.5100000000000001E-2</v>
      </c>
      <c r="C204" s="184" t="s">
        <v>502</v>
      </c>
      <c r="D204" s="240">
        <v>-2.0999999999999999E-3</v>
      </c>
    </row>
    <row r="205" spans="1:4" ht="15.75" customHeight="1" x14ac:dyDescent="0.25">
      <c r="A205" s="182" t="s">
        <v>407</v>
      </c>
      <c r="B205" s="241">
        <v>2.4400000000000002E-2</v>
      </c>
      <c r="C205" s="182" t="s">
        <v>502</v>
      </c>
      <c r="D205" s="241">
        <v>-6.9999999999999902E-4</v>
      </c>
    </row>
    <row r="206" spans="1:4" ht="15.75" customHeight="1" x14ac:dyDescent="0.25">
      <c r="A206" s="184" t="s">
        <v>408</v>
      </c>
      <c r="B206" s="240">
        <v>2.1899999999999999E-2</v>
      </c>
      <c r="C206" s="184" t="s">
        <v>502</v>
      </c>
      <c r="D206" s="240">
        <v>-2.5000000000000001E-3</v>
      </c>
    </row>
    <row r="207" spans="1:4" ht="15.75" customHeight="1" x14ac:dyDescent="0.25">
      <c r="A207" s="182" t="s">
        <v>409</v>
      </c>
      <c r="B207" s="241">
        <v>1.9699999999999999E-2</v>
      </c>
      <c r="C207" s="182" t="s">
        <v>502</v>
      </c>
      <c r="D207" s="241">
        <v>-2.2000000000000001E-3</v>
      </c>
    </row>
    <row r="208" spans="1:4" ht="15.75" customHeight="1" x14ac:dyDescent="0.25">
      <c r="A208" s="184" t="s">
        <v>410</v>
      </c>
      <c r="B208" s="240">
        <v>1.95E-2</v>
      </c>
      <c r="C208" s="184" t="s">
        <v>502</v>
      </c>
      <c r="D208" s="240">
        <v>-1.9999999999999901E-4</v>
      </c>
    </row>
    <row r="209" spans="1:4" ht="15.75" customHeight="1" x14ac:dyDescent="0.25">
      <c r="A209" s="182" t="s">
        <v>411</v>
      </c>
      <c r="B209" s="241">
        <v>1.9E-2</v>
      </c>
      <c r="C209" s="182" t="s">
        <v>502</v>
      </c>
      <c r="D209" s="241">
        <v>-5.0000000000000001E-4</v>
      </c>
    </row>
    <row r="210" spans="1:4" ht="15.75" customHeight="1" x14ac:dyDescent="0.25">
      <c r="A210" s="184" t="s">
        <v>412</v>
      </c>
      <c r="B210" s="240">
        <v>1.83E-2</v>
      </c>
      <c r="C210" s="184" t="s">
        <v>502</v>
      </c>
      <c r="D210" s="240">
        <v>-6.9999999999999902E-4</v>
      </c>
    </row>
    <row r="211" spans="1:4" ht="15.75" customHeight="1" x14ac:dyDescent="0.25">
      <c r="A211" s="182" t="s">
        <v>413</v>
      </c>
      <c r="B211" s="241">
        <v>1.77E-2</v>
      </c>
      <c r="C211" s="182" t="s">
        <v>502</v>
      </c>
      <c r="D211" s="241">
        <v>-5.9999999999999995E-4</v>
      </c>
    </row>
    <row r="212" spans="1:4" ht="15.75" customHeight="1" x14ac:dyDescent="0.25">
      <c r="A212" s="184" t="s">
        <v>416</v>
      </c>
      <c r="B212" s="240">
        <v>1.78E-2</v>
      </c>
      <c r="C212" s="184" t="s">
        <v>502</v>
      </c>
      <c r="D212" s="238">
        <v>9.9999999999999395E-5</v>
      </c>
    </row>
    <row r="213" spans="1:4" ht="15.75" customHeight="1" x14ac:dyDescent="0.25">
      <c r="A213" s="182" t="s">
        <v>417</v>
      </c>
      <c r="B213" s="241">
        <v>1.8499999999999999E-2</v>
      </c>
      <c r="C213" s="182" t="s">
        <v>502</v>
      </c>
      <c r="D213" s="239">
        <v>6.9999999999999902E-4</v>
      </c>
    </row>
    <row r="214" spans="1:4" ht="15.75" customHeight="1" x14ac:dyDescent="0.25">
      <c r="A214" s="184" t="s">
        <v>418</v>
      </c>
      <c r="B214" s="240">
        <v>2.0799999999999999E-2</v>
      </c>
      <c r="C214" s="184" t="s">
        <v>502</v>
      </c>
      <c r="D214" s="238">
        <v>2.3E-3</v>
      </c>
    </row>
    <row r="215" spans="1:4" ht="15.75" customHeight="1" x14ac:dyDescent="0.25">
      <c r="A215" s="182" t="s">
        <v>419</v>
      </c>
      <c r="B215" s="241">
        <v>2.1700000000000001E-2</v>
      </c>
      <c r="C215" s="182" t="s">
        <v>502</v>
      </c>
      <c r="D215" s="239">
        <v>9.0000000000000204E-4</v>
      </c>
    </row>
    <row r="216" spans="1:4" ht="15.75" customHeight="1" x14ac:dyDescent="0.25">
      <c r="A216" s="184" t="s">
        <v>420</v>
      </c>
      <c r="B216" s="240">
        <v>2.1299999999999999E-2</v>
      </c>
      <c r="C216" s="184" t="s">
        <v>502</v>
      </c>
      <c r="D216" s="240">
        <v>-4.0000000000000099E-4</v>
      </c>
    </row>
    <row r="217" spans="1:4" ht="15.75" customHeight="1" x14ac:dyDescent="0.25">
      <c r="A217" s="182" t="s">
        <v>421</v>
      </c>
      <c r="B217" s="241">
        <v>2.01E-2</v>
      </c>
      <c r="C217" s="182" t="s">
        <v>502</v>
      </c>
      <c r="D217" s="241">
        <v>-1.1999999999999999E-3</v>
      </c>
    </row>
    <row r="218" spans="1:4" ht="15.75" customHeight="1" x14ac:dyDescent="0.25">
      <c r="A218" s="184" t="s">
        <v>422</v>
      </c>
      <c r="B218" s="240">
        <v>2.1499999999999998E-2</v>
      </c>
      <c r="C218" s="184" t="s">
        <v>502</v>
      </c>
      <c r="D218" s="238">
        <v>1.4E-3</v>
      </c>
    </row>
    <row r="219" spans="1:4" ht="15.75" customHeight="1" x14ac:dyDescent="0.25">
      <c r="A219" s="182" t="s">
        <v>423</v>
      </c>
      <c r="B219" s="241">
        <v>2.3199999999999998E-2</v>
      </c>
      <c r="C219" s="182" t="s">
        <v>502</v>
      </c>
      <c r="D219" s="239">
        <v>1.6999999999999999E-3</v>
      </c>
    </row>
    <row r="220" spans="1:4" ht="15.75" customHeight="1" x14ac:dyDescent="0.25">
      <c r="A220" s="184" t="s">
        <v>424</v>
      </c>
      <c r="B220" s="240">
        <v>2.41E-2</v>
      </c>
      <c r="C220" s="184" t="s">
        <v>502</v>
      </c>
      <c r="D220" s="238">
        <v>9.0000000000000204E-4</v>
      </c>
    </row>
    <row r="221" spans="1:4" ht="15.75" customHeight="1" x14ac:dyDescent="0.25">
      <c r="A221" s="182" t="s">
        <v>425</v>
      </c>
      <c r="B221" s="241">
        <v>2.6100000000000002E-2</v>
      </c>
      <c r="C221" s="182" t="s">
        <v>502</v>
      </c>
      <c r="D221" s="239">
        <v>2E-3</v>
      </c>
    </row>
    <row r="222" spans="1:4" ht="15.75" customHeight="1" x14ac:dyDescent="0.25">
      <c r="A222" s="184" t="s">
        <v>426</v>
      </c>
      <c r="B222" s="240">
        <v>2.8899999999999999E-2</v>
      </c>
      <c r="C222" s="184" t="s">
        <v>502</v>
      </c>
      <c r="D222" s="238">
        <v>2.8E-3</v>
      </c>
    </row>
    <row r="223" spans="1:4" ht="15.75" customHeight="1" x14ac:dyDescent="0.25">
      <c r="A223" s="182" t="s">
        <v>427</v>
      </c>
      <c r="B223" s="236">
        <v>3.2099999999999997E-2</v>
      </c>
      <c r="C223" s="182" t="s">
        <v>500</v>
      </c>
      <c r="D223" s="239">
        <v>3.2000000000000002E-3</v>
      </c>
    </row>
    <row r="224" spans="1:4" ht="15.75" customHeight="1" x14ac:dyDescent="0.25">
      <c r="A224" s="184" t="s">
        <v>428</v>
      </c>
      <c r="B224" s="242">
        <v>3.61E-2</v>
      </c>
      <c r="C224" s="184" t="s">
        <v>500</v>
      </c>
      <c r="D224" s="238">
        <v>4.0000000000000001E-3</v>
      </c>
    </row>
    <row r="225" spans="1:4" ht="15.75" customHeight="1" x14ac:dyDescent="0.25">
      <c r="A225" s="182" t="s">
        <v>429</v>
      </c>
      <c r="B225" s="236">
        <v>3.9100000000000003E-2</v>
      </c>
      <c r="C225" s="182" t="s">
        <v>500</v>
      </c>
      <c r="D225" s="239">
        <v>3.0000000000000001E-3</v>
      </c>
    </row>
    <row r="226" spans="1:4" ht="15.75" customHeight="1" x14ac:dyDescent="0.25">
      <c r="A226" s="184" t="s">
        <v>430</v>
      </c>
      <c r="B226" s="242">
        <v>4.1300000000000003E-2</v>
      </c>
      <c r="C226" s="184" t="s">
        <v>500</v>
      </c>
      <c r="D226" s="238">
        <v>2.2000000000000001E-3</v>
      </c>
    </row>
    <row r="227" spans="1:4" ht="15.75" customHeight="1" x14ac:dyDescent="0.25">
      <c r="A227" s="182" t="s">
        <v>431</v>
      </c>
      <c r="B227" s="236">
        <v>4.53E-2</v>
      </c>
      <c r="C227" s="182" t="s">
        <v>500</v>
      </c>
      <c r="D227" s="239">
        <v>4.0000000000000001E-3</v>
      </c>
    </row>
    <row r="228" spans="1:4" ht="15.75" customHeight="1" x14ac:dyDescent="0.25">
      <c r="A228" s="184" t="s">
        <v>432</v>
      </c>
      <c r="B228" s="238">
        <v>5.1299999999999998E-2</v>
      </c>
      <c r="C228" s="184" t="s">
        <v>501</v>
      </c>
      <c r="D228" s="238">
        <v>6.0000000000000001E-3</v>
      </c>
    </row>
    <row r="229" spans="1:4" ht="15.75" customHeight="1" x14ac:dyDescent="0.25">
      <c r="A229" s="182" t="s">
        <v>433</v>
      </c>
      <c r="B229" s="239">
        <v>5.8200000000000002E-2</v>
      </c>
      <c r="C229" s="182" t="s">
        <v>501</v>
      </c>
      <c r="D229" s="239">
        <v>6.8999999999999999E-3</v>
      </c>
    </row>
    <row r="230" spans="1:4" ht="15.75" customHeight="1" x14ac:dyDescent="0.25">
      <c r="A230" s="184" t="s">
        <v>434</v>
      </c>
      <c r="B230" s="238">
        <v>6.3200000000000006E-2</v>
      </c>
      <c r="C230" s="184" t="s">
        <v>501</v>
      </c>
      <c r="D230" s="238">
        <v>5.0000000000000001E-3</v>
      </c>
    </row>
    <row r="231" spans="1:4" ht="15.75" customHeight="1" x14ac:dyDescent="0.25">
      <c r="A231" s="182" t="s">
        <v>435</v>
      </c>
      <c r="B231" s="239">
        <v>6.8099999999999994E-2</v>
      </c>
      <c r="C231" s="182" t="s">
        <v>501</v>
      </c>
      <c r="D231" s="239">
        <v>4.8999999999999903E-3</v>
      </c>
    </row>
    <row r="232" spans="1:4" ht="15.75" customHeight="1" x14ac:dyDescent="0.25">
      <c r="A232" s="184" t="s">
        <v>436</v>
      </c>
      <c r="B232" s="238">
        <v>7.2300000000000003E-2</v>
      </c>
      <c r="C232" s="184" t="s">
        <v>501</v>
      </c>
      <c r="D232" s="238">
        <v>4.2000000000000101E-3</v>
      </c>
    </row>
    <row r="233" spans="1:4" ht="15.75" customHeight="1" x14ac:dyDescent="0.25">
      <c r="A233" s="182" t="s">
        <v>437</v>
      </c>
      <c r="B233" s="239">
        <v>7.6200000000000004E-2</v>
      </c>
      <c r="C233" s="182" t="s">
        <v>501</v>
      </c>
      <c r="D233" s="239">
        <v>3.8999999999999998E-3</v>
      </c>
    </row>
    <row r="234" spans="1:4" ht="15.75" customHeight="1" x14ac:dyDescent="0.25">
      <c r="A234" s="184" t="s">
        <v>438</v>
      </c>
      <c r="B234" s="238">
        <v>7.9500000000000001E-2</v>
      </c>
      <c r="C234" s="184" t="s">
        <v>501</v>
      </c>
      <c r="D234" s="238">
        <v>3.3E-3</v>
      </c>
    </row>
    <row r="235" spans="1:4" ht="15.75" customHeight="1" x14ac:dyDescent="0.25">
      <c r="A235" s="182" t="s">
        <v>439</v>
      </c>
      <c r="B235" s="239">
        <v>8.2299999999999998E-2</v>
      </c>
      <c r="C235" s="182" t="s">
        <v>503</v>
      </c>
      <c r="D235" s="239">
        <v>2.8E-3</v>
      </c>
    </row>
    <row r="236" spans="1:4" ht="15.75" customHeight="1" x14ac:dyDescent="0.25">
      <c r="A236" s="184" t="s">
        <v>440</v>
      </c>
      <c r="B236" s="238">
        <v>8.4699999999999998E-2</v>
      </c>
      <c r="C236" s="184" t="s">
        <v>503</v>
      </c>
      <c r="D236" s="238">
        <v>2.3999999999999998E-3</v>
      </c>
    </row>
    <row r="237" spans="1:4" ht="15.75" customHeight="1" x14ac:dyDescent="0.25">
      <c r="A237" s="182" t="s">
        <v>441</v>
      </c>
      <c r="B237" s="239">
        <v>8.7599999999999997E-2</v>
      </c>
      <c r="C237" s="182" t="s">
        <v>503</v>
      </c>
      <c r="D237" s="239">
        <v>2.8999999999999998E-3</v>
      </c>
    </row>
    <row r="238" spans="1:4" ht="15.75" customHeight="1" x14ac:dyDescent="0.25">
      <c r="A238" s="184" t="s">
        <v>442</v>
      </c>
      <c r="B238" s="238">
        <v>9.2200000000000004E-2</v>
      </c>
      <c r="C238" s="184" t="s">
        <v>503</v>
      </c>
      <c r="D238" s="238">
        <v>4.6000000000000103E-3</v>
      </c>
    </row>
    <row r="239" spans="1:4" ht="15.75" customHeight="1" x14ac:dyDescent="0.25">
      <c r="A239" s="182" t="s">
        <v>443</v>
      </c>
      <c r="B239" s="239">
        <v>9.3799999999999994E-2</v>
      </c>
      <c r="C239" s="182" t="s">
        <v>503</v>
      </c>
      <c r="D239" s="239">
        <v>1.5999999999999901E-3</v>
      </c>
    </row>
    <row r="240" spans="1:4" ht="15.75" customHeight="1" x14ac:dyDescent="0.25">
      <c r="A240" s="184" t="s">
        <v>444</v>
      </c>
      <c r="B240" s="238">
        <v>9.4799999999999995E-2</v>
      </c>
      <c r="C240" s="184" t="s">
        <v>503</v>
      </c>
      <c r="D240" s="238">
        <v>1E-3</v>
      </c>
    </row>
    <row r="241" spans="1:4" ht="15.75" customHeight="1" x14ac:dyDescent="0.25">
      <c r="A241" s="182" t="s">
        <v>445</v>
      </c>
      <c r="B241" s="239">
        <v>9.4E-2</v>
      </c>
      <c r="C241" s="182" t="s">
        <v>503</v>
      </c>
      <c r="D241" s="241">
        <v>-7.9999999999999505E-4</v>
      </c>
    </row>
    <row r="242" spans="1:4" ht="15.75" customHeight="1" x14ac:dyDescent="0.25">
      <c r="A242" s="184" t="s">
        <v>446</v>
      </c>
      <c r="B242" s="238">
        <v>9.2999999999999999E-2</v>
      </c>
      <c r="C242" s="184" t="s">
        <v>503</v>
      </c>
      <c r="D242" s="240">
        <v>-1E-3</v>
      </c>
    </row>
    <row r="243" spans="1:4" ht="15.75" customHeight="1" x14ac:dyDescent="0.25">
      <c r="A243" s="182" t="s">
        <v>447</v>
      </c>
      <c r="B243" s="239">
        <v>9.1999999999999998E-2</v>
      </c>
      <c r="C243" s="182" t="s">
        <v>503</v>
      </c>
      <c r="D243" s="241">
        <v>-1E-3</v>
      </c>
    </row>
    <row r="244" spans="1:4" ht="15.75" customHeight="1" x14ac:dyDescent="0.25">
      <c r="A244" s="184" t="s">
        <v>448</v>
      </c>
      <c r="B244" s="238">
        <v>9.2700000000000005E-2</v>
      </c>
      <c r="C244" s="184" t="s">
        <v>503</v>
      </c>
      <c r="D244" s="238">
        <v>7.0000000000000596E-4</v>
      </c>
    </row>
    <row r="245" spans="1:4" ht="15.75" customHeight="1" x14ac:dyDescent="0.25">
      <c r="A245" s="182" t="s">
        <v>449</v>
      </c>
      <c r="B245" s="239">
        <v>9.2899999999999996E-2</v>
      </c>
      <c r="C245" s="182" t="s">
        <v>503</v>
      </c>
      <c r="D245" s="239">
        <v>1.9999999999999199E-4</v>
      </c>
    </row>
    <row r="246" spans="1:4" ht="15.75" customHeight="1" x14ac:dyDescent="0.25">
      <c r="A246" s="184" t="s">
        <v>450</v>
      </c>
      <c r="B246" s="238">
        <v>9.35E-2</v>
      </c>
      <c r="C246" s="184" t="s">
        <v>503</v>
      </c>
      <c r="D246" s="238">
        <v>6.0000000000000298E-4</v>
      </c>
    </row>
    <row r="247" spans="1:4" ht="15.75" customHeight="1" x14ac:dyDescent="0.25">
      <c r="A247" s="182" t="s">
        <v>451</v>
      </c>
      <c r="B247" s="239">
        <v>9.4100000000000003E-2</v>
      </c>
      <c r="C247" s="182" t="s">
        <v>503</v>
      </c>
      <c r="D247" s="239">
        <v>6.0000000000000298E-4</v>
      </c>
    </row>
    <row r="248" spans="1:4" ht="15.75" customHeight="1" x14ac:dyDescent="0.25">
      <c r="A248" s="184" t="s">
        <v>452</v>
      </c>
      <c r="B248" s="238">
        <v>9.4100000000000003E-2</v>
      </c>
      <c r="C248" s="184" t="s">
        <v>503</v>
      </c>
      <c r="D248" s="240">
        <v>0</v>
      </c>
    </row>
    <row r="249" spans="1:4" ht="15.75" customHeight="1" x14ac:dyDescent="0.25">
      <c r="A249" s="182" t="s">
        <v>453</v>
      </c>
      <c r="B249" s="239">
        <v>9.4600000000000004E-2</v>
      </c>
      <c r="C249" s="182" t="s">
        <v>503</v>
      </c>
      <c r="D249" s="239">
        <v>5.0000000000000001E-4</v>
      </c>
    </row>
    <row r="250" spans="1:4" ht="15.75" customHeight="1" x14ac:dyDescent="0.25">
      <c r="A250" s="184" t="s">
        <v>454</v>
      </c>
      <c r="B250" s="238">
        <v>9.3299999999999994E-2</v>
      </c>
      <c r="C250" s="184" t="s">
        <v>503</v>
      </c>
      <c r="D250" s="240">
        <v>-1.3000000000000099E-3</v>
      </c>
    </row>
    <row r="251" spans="1:4" ht="15.75" customHeight="1" x14ac:dyDescent="0.25">
      <c r="A251" s="182" t="s">
        <v>455</v>
      </c>
      <c r="B251" s="239">
        <v>9.3299999999999994E-2</v>
      </c>
      <c r="C251" s="182" t="s">
        <v>503</v>
      </c>
      <c r="D251" s="241">
        <v>0</v>
      </c>
    </row>
    <row r="252" spans="1:4" ht="15.75" customHeight="1" x14ac:dyDescent="0.25">
      <c r="A252" s="184" t="s">
        <v>456</v>
      </c>
      <c r="B252" s="238">
        <v>9.3200000000000005E-2</v>
      </c>
      <c r="C252" s="184" t="s">
        <v>503</v>
      </c>
      <c r="D252" s="240">
        <v>-9.9999999999989E-5</v>
      </c>
    </row>
    <row r="253" spans="1:4" ht="15.75" customHeight="1" x14ac:dyDescent="0.25">
      <c r="A253" s="182" t="s">
        <v>457</v>
      </c>
      <c r="B253" s="239">
        <v>9.3899999999999997E-2</v>
      </c>
      <c r="C253" s="182" t="s">
        <v>503</v>
      </c>
      <c r="D253" s="239">
        <v>6.9999999999999197E-4</v>
      </c>
    </row>
    <row r="254" spans="1:4" ht="15.75" customHeight="1" x14ac:dyDescent="0.25">
      <c r="A254" s="184" t="s">
        <v>458</v>
      </c>
      <c r="B254" s="238">
        <v>9.3899999999999997E-2</v>
      </c>
      <c r="C254" s="184" t="s">
        <v>503</v>
      </c>
      <c r="D254" s="240">
        <v>0</v>
      </c>
    </row>
    <row r="255" spans="1:4" ht="15.75" customHeight="1" x14ac:dyDescent="0.25">
      <c r="A255" s="182" t="s">
        <v>459</v>
      </c>
      <c r="B255" s="239">
        <v>9.4500000000000001E-2</v>
      </c>
      <c r="C255" s="182" t="s">
        <v>503</v>
      </c>
      <c r="D255" s="239">
        <v>6.0000000000000298E-4</v>
      </c>
    </row>
    <row r="256" spans="1:4" ht="15.75" customHeight="1" x14ac:dyDescent="0.25">
      <c r="A256" s="184" t="s">
        <v>460</v>
      </c>
      <c r="B256" s="238">
        <v>9.3200000000000005E-2</v>
      </c>
      <c r="C256" s="184" t="s">
        <v>503</v>
      </c>
      <c r="D256" s="240">
        <v>-1.2999999999999999E-3</v>
      </c>
    </row>
    <row r="257" spans="1:4" ht="15.75" customHeight="1" x14ac:dyDescent="0.25">
      <c r="A257" s="167" t="s">
        <v>146</v>
      </c>
      <c r="B257" s="243">
        <v>9.06E-2</v>
      </c>
      <c r="C257" s="244" t="s">
        <v>503</v>
      </c>
      <c r="D257" s="245">
        <v>-2.6000000000000099E-3</v>
      </c>
    </row>
    <row r="258" spans="1:4" ht="15.75" customHeight="1" x14ac:dyDescent="0.25">
      <c r="A258" s="167" t="s">
        <v>150</v>
      </c>
      <c r="B258" s="243">
        <v>8.6099999999999996E-2</v>
      </c>
      <c r="C258" s="244" t="s">
        <v>503</v>
      </c>
      <c r="D258" s="245">
        <v>-4.4999999999999997E-3</v>
      </c>
    </row>
    <row r="259" spans="1:4" ht="15.75" customHeight="1" x14ac:dyDescent="0.25">
      <c r="A259" s="167" t="s">
        <v>151</v>
      </c>
      <c r="B259" s="243">
        <v>8.1000000000000003E-2</v>
      </c>
      <c r="C259" s="244" t="s">
        <v>503</v>
      </c>
      <c r="D259" s="245">
        <v>-5.09999999999999E-3</v>
      </c>
    </row>
    <row r="260" spans="1:4" ht="15.75" customHeight="1" x14ac:dyDescent="0.25">
      <c r="A260" s="167" t="s">
        <v>152</v>
      </c>
      <c r="B260" s="243">
        <v>7.4399999999999994E-2</v>
      </c>
      <c r="C260" s="244" t="s">
        <v>501</v>
      </c>
      <c r="D260" s="245">
        <v>-6.6000000000000104E-3</v>
      </c>
    </row>
    <row r="261" spans="1:4" ht="15.75" customHeight="1" x14ac:dyDescent="0.25">
      <c r="A261" s="167" t="s">
        <v>153</v>
      </c>
      <c r="B261" s="243">
        <v>6.8199999999999997E-2</v>
      </c>
      <c r="C261" s="244" t="s">
        <v>501</v>
      </c>
      <c r="D261" s="245">
        <v>-6.1999999999999998E-3</v>
      </c>
    </row>
    <row r="262" spans="1:4" ht="15.75" customHeight="1" x14ac:dyDescent="0.25">
      <c r="A262" s="167" t="s">
        <v>154</v>
      </c>
      <c r="B262" s="243">
        <v>6.4199999999999993E-2</v>
      </c>
      <c r="C262" s="244" t="s">
        <v>501</v>
      </c>
      <c r="D262" s="245">
        <v>-4.0000000000000001E-3</v>
      </c>
    </row>
    <row r="263" spans="1:4" ht="15.75" customHeight="1" x14ac:dyDescent="0.25">
      <c r="A263" s="167" t="s">
        <v>155</v>
      </c>
      <c r="B263" s="243">
        <v>6.1199999999999997E-2</v>
      </c>
      <c r="C263" s="244" t="s">
        <v>501</v>
      </c>
      <c r="D263" s="245">
        <v>-3.0000000000000001E-3</v>
      </c>
    </row>
    <row r="264" spans="1:4" ht="15.75" customHeight="1" x14ac:dyDescent="0.25">
      <c r="A264" s="167" t="s">
        <v>156</v>
      </c>
      <c r="B264" s="243">
        <v>5.6899999999999999E-2</v>
      </c>
      <c r="C264" s="244" t="s">
        <v>501</v>
      </c>
      <c r="D264" s="245">
        <v>-4.3E-3</v>
      </c>
    </row>
    <row r="265" spans="1:4" ht="15.75" customHeight="1" x14ac:dyDescent="0.25">
      <c r="A265" s="167" t="s">
        <v>157</v>
      </c>
      <c r="B265" s="243">
        <v>5.2299999999999999E-2</v>
      </c>
      <c r="C265" s="244" t="s">
        <v>501</v>
      </c>
      <c r="D265" s="245">
        <v>-4.5999999999999999E-3</v>
      </c>
    </row>
    <row r="266" spans="1:4" ht="15.75" customHeight="1" x14ac:dyDescent="0.25">
      <c r="A266" s="167" t="s">
        <v>158</v>
      </c>
      <c r="B266" s="246">
        <v>4.9099999999999998E-2</v>
      </c>
      <c r="C266" s="244" t="s">
        <v>500</v>
      </c>
      <c r="D266" s="245">
        <v>-3.2000000000000002E-3</v>
      </c>
    </row>
    <row r="267" spans="1:4" ht="15.75" customHeight="1" x14ac:dyDescent="0.25">
      <c r="A267" s="167" t="s">
        <v>159</v>
      </c>
      <c r="B267" s="246">
        <v>4.4400000000000002E-2</v>
      </c>
      <c r="C267" s="244" t="s">
        <v>500</v>
      </c>
      <c r="D267" s="245">
        <v>-4.7000000000000002E-3</v>
      </c>
    </row>
    <row r="268" spans="1:4" ht="15.75" customHeight="1" x14ac:dyDescent="0.25">
      <c r="A268" s="167" t="s">
        <v>160</v>
      </c>
      <c r="B268" s="246">
        <v>4.0500000000000001E-2</v>
      </c>
      <c r="C268" s="244" t="s">
        <v>500</v>
      </c>
      <c r="D268" s="245">
        <v>-3.8999999999999998E-3</v>
      </c>
    </row>
    <row r="269" spans="1:4" ht="15.75" customHeight="1" x14ac:dyDescent="0.25">
      <c r="A269" s="167" t="s">
        <v>161</v>
      </c>
      <c r="B269" s="246">
        <v>3.8399999999999997E-2</v>
      </c>
      <c r="C269" s="244" t="s">
        <v>500</v>
      </c>
      <c r="D269" s="245">
        <v>-2.1000000000000098E-3</v>
      </c>
    </row>
    <row r="270" spans="1:4" ht="15.75" customHeight="1" x14ac:dyDescent="0.25">
      <c r="A270" s="167" t="s">
        <v>162</v>
      </c>
      <c r="B270" s="246">
        <v>3.85E-2</v>
      </c>
      <c r="C270" s="244" t="s">
        <v>500</v>
      </c>
      <c r="D270" s="247">
        <v>1.00000000000003E-4</v>
      </c>
    </row>
    <row r="271" spans="1:4" ht="15.75" customHeight="1" x14ac:dyDescent="0.25">
      <c r="A271" s="167" t="s">
        <v>163</v>
      </c>
      <c r="B271" s="246">
        <v>3.9600000000000003E-2</v>
      </c>
      <c r="C271" s="244" t="s">
        <v>500</v>
      </c>
      <c r="D271" s="247">
        <v>1.1000000000000001E-3</v>
      </c>
    </row>
    <row r="272" spans="1:4" ht="15.75" customHeight="1" x14ac:dyDescent="0.25">
      <c r="A272" s="167" t="s">
        <v>165</v>
      </c>
      <c r="B272" s="246">
        <v>4.1399999999999999E-2</v>
      </c>
      <c r="C272" s="244" t="s">
        <v>500</v>
      </c>
      <c r="D272" s="247">
        <v>1.8E-3</v>
      </c>
    </row>
    <row r="273" spans="1:6" ht="15.75" customHeight="1" x14ac:dyDescent="0.25">
      <c r="A273" s="167" t="s">
        <v>166</v>
      </c>
      <c r="B273" s="246">
        <v>0.04</v>
      </c>
      <c r="C273" s="244" t="s">
        <v>500</v>
      </c>
      <c r="D273" s="245">
        <v>-1.4E-3</v>
      </c>
    </row>
    <row r="274" spans="1:6" ht="15.75" customHeight="1" x14ac:dyDescent="0.25">
      <c r="A274" s="167" t="s">
        <v>167</v>
      </c>
      <c r="B274" s="246">
        <v>3.6400000000000002E-2</v>
      </c>
      <c r="C274" s="244" t="s">
        <v>500</v>
      </c>
      <c r="D274" s="245">
        <v>-3.5999999999999999E-3</v>
      </c>
    </row>
    <row r="275" spans="1:6" ht="15.75" customHeight="1" x14ac:dyDescent="0.25">
      <c r="A275" s="167" t="s">
        <v>168</v>
      </c>
      <c r="B275" s="246">
        <v>3.1399999999999997E-2</v>
      </c>
      <c r="C275" s="244" t="s">
        <v>500</v>
      </c>
      <c r="D275" s="245">
        <v>-5.0000000000000001E-3</v>
      </c>
    </row>
    <row r="276" spans="1:6" ht="15.75" customHeight="1" x14ac:dyDescent="0.25">
      <c r="A276" s="167" t="s">
        <v>169</v>
      </c>
      <c r="B276" s="248">
        <v>2.6599999999999999E-2</v>
      </c>
      <c r="C276" s="244" t="s">
        <v>502</v>
      </c>
      <c r="D276" s="245">
        <v>-4.7999999999999996E-3</v>
      </c>
    </row>
    <row r="277" spans="1:6" ht="15.75" customHeight="1" x14ac:dyDescent="0.25">
      <c r="A277" s="167" t="s">
        <v>170</v>
      </c>
      <c r="B277" s="248">
        <v>2.1600000000000001E-2</v>
      </c>
      <c r="C277" s="244" t="s">
        <v>502</v>
      </c>
      <c r="D277" s="245">
        <v>-5.0000000000000001E-3</v>
      </c>
    </row>
    <row r="278" spans="1:6" ht="15.75" customHeight="1" x14ac:dyDescent="0.25">
      <c r="A278" s="167" t="s">
        <v>174</v>
      </c>
      <c r="B278" s="248">
        <v>1.7100000000000001E-2</v>
      </c>
      <c r="C278" s="244" t="s">
        <v>502</v>
      </c>
      <c r="D278" s="245">
        <v>-4.4999999999999997E-3</v>
      </c>
    </row>
    <row r="279" spans="1:6" ht="15.75" customHeight="1" x14ac:dyDescent="0.25">
      <c r="A279" s="167" t="s">
        <v>175</v>
      </c>
      <c r="B279" s="248">
        <v>1.52E-2</v>
      </c>
      <c r="C279" s="244" t="s">
        <v>502</v>
      </c>
      <c r="D279" s="245">
        <v>-1.9E-3</v>
      </c>
    </row>
    <row r="280" spans="1:6" ht="15.75" customHeight="1" x14ac:dyDescent="0.25">
      <c r="A280" s="167" t="s">
        <v>176</v>
      </c>
      <c r="B280" s="248">
        <v>1.4200000000000001E-2</v>
      </c>
      <c r="C280" s="244" t="s">
        <v>502</v>
      </c>
      <c r="D280" s="245">
        <v>-9.9999999999999894E-4</v>
      </c>
    </row>
    <row r="281" spans="1:6" ht="15.75" customHeight="1" x14ac:dyDescent="0.25">
      <c r="A281" s="167" t="s">
        <v>177</v>
      </c>
      <c r="B281" s="248">
        <v>1.34E-2</v>
      </c>
      <c r="C281" s="244" t="s">
        <v>502</v>
      </c>
      <c r="D281" s="245">
        <v>-8.0000000000000004E-4</v>
      </c>
    </row>
    <row r="282" spans="1:6" ht="15.75" customHeight="1" x14ac:dyDescent="0.25">
      <c r="A282" s="167" t="s">
        <v>178</v>
      </c>
      <c r="B282" s="248">
        <v>1.2E-2</v>
      </c>
      <c r="C282" s="244" t="s">
        <v>502</v>
      </c>
      <c r="D282" s="245">
        <v>-1.4E-3</v>
      </c>
    </row>
    <row r="284" spans="1:6" ht="15" customHeight="1" x14ac:dyDescent="0.25">
      <c r="A284" s="344" t="s">
        <v>504</v>
      </c>
      <c r="B284" s="341"/>
      <c r="C284" s="341"/>
      <c r="D284" s="341"/>
      <c r="E284" s="341"/>
      <c r="F284" s="341"/>
    </row>
  </sheetData>
  <mergeCells count="13">
    <mergeCell ref="A2:F2"/>
    <mergeCell ref="C9:F9"/>
    <mergeCell ref="A284:F284"/>
    <mergeCell ref="C8:F8"/>
    <mergeCell ref="A1:F1"/>
    <mergeCell ref="C6:F6"/>
    <mergeCell ref="C7:F7"/>
    <mergeCell ref="A12:F12"/>
    <mergeCell ref="A4:F4"/>
    <mergeCell ref="A3:F3"/>
    <mergeCell ref="C5:F5"/>
    <mergeCell ref="C10:F10"/>
    <mergeCell ref="A15:F1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45"/>
  <sheetViews>
    <sheetView showGridLines="0" zoomScaleNormal="100" workbookViewId="0">
      <selection sqref="A1:I1"/>
    </sheetView>
  </sheetViews>
  <sheetFormatPr defaultColWidth="8.7109375" defaultRowHeight="15" x14ac:dyDescent="0.25"/>
  <cols>
    <col min="1" max="1" width="14" customWidth="1"/>
    <col min="2" max="9" width="16" customWidth="1"/>
  </cols>
  <sheetData>
    <row r="1" spans="1:9" ht="37.5" customHeight="1" x14ac:dyDescent="0.25">
      <c r="A1" s="340" t="s">
        <v>505</v>
      </c>
      <c r="B1" s="341"/>
      <c r="C1" s="341"/>
      <c r="D1" s="341"/>
      <c r="E1" s="341"/>
      <c r="F1" s="341"/>
      <c r="G1" s="341"/>
      <c r="H1" s="341"/>
      <c r="I1" s="341"/>
    </row>
    <row r="2" spans="1:9" ht="19.5" customHeight="1" x14ac:dyDescent="0.25">
      <c r="A2" s="342" t="s">
        <v>506</v>
      </c>
      <c r="B2" s="341"/>
      <c r="C2" s="341"/>
      <c r="D2" s="341"/>
      <c r="E2" s="341"/>
      <c r="F2" s="341"/>
      <c r="G2" s="341"/>
      <c r="H2" s="341"/>
      <c r="I2" s="341"/>
    </row>
    <row r="3" spans="1:9" ht="9.75" customHeight="1" x14ac:dyDescent="0.25">
      <c r="A3" s="343"/>
      <c r="B3" s="341"/>
      <c r="C3" s="341"/>
      <c r="D3" s="341"/>
      <c r="E3" s="341"/>
      <c r="F3" s="341"/>
      <c r="G3" s="341"/>
      <c r="H3" s="341"/>
      <c r="I3" s="341"/>
    </row>
    <row r="4" spans="1:9" ht="24" customHeight="1" x14ac:dyDescent="0.25">
      <c r="A4" s="345" t="s">
        <v>507</v>
      </c>
      <c r="B4" s="341"/>
      <c r="C4" s="341"/>
      <c r="D4" s="341"/>
      <c r="E4" s="341"/>
      <c r="F4" s="341"/>
      <c r="G4" s="341"/>
      <c r="H4" s="341"/>
      <c r="I4" s="341"/>
    </row>
    <row r="5" spans="1:9" ht="30" customHeight="1" x14ac:dyDescent="0.25">
      <c r="A5" s="2" t="s">
        <v>508</v>
      </c>
      <c r="B5" s="2" t="s">
        <v>509</v>
      </c>
      <c r="C5" s="2" t="s">
        <v>510</v>
      </c>
      <c r="D5" s="2" t="s">
        <v>511</v>
      </c>
      <c r="E5" s="2" t="s">
        <v>512</v>
      </c>
      <c r="F5" s="2" t="s">
        <v>513</v>
      </c>
      <c r="G5" s="2" t="s">
        <v>514</v>
      </c>
      <c r="H5" s="2" t="s">
        <v>515</v>
      </c>
      <c r="I5" s="2" t="s">
        <v>516</v>
      </c>
    </row>
    <row r="6" spans="1:9" ht="21.75" customHeight="1" x14ac:dyDescent="0.25">
      <c r="A6" s="249" t="s">
        <v>517</v>
      </c>
      <c r="B6" s="250">
        <v>133.3348</v>
      </c>
      <c r="C6" s="251">
        <v>133.1054</v>
      </c>
      <c r="D6" s="217">
        <v>-1.72048107470817E-3</v>
      </c>
      <c r="E6" s="252">
        <v>130.922336807818</v>
      </c>
      <c r="F6" s="252">
        <v>129.0523</v>
      </c>
      <c r="G6" s="252">
        <v>133.9975</v>
      </c>
      <c r="H6" s="253">
        <v>134.05211307692301</v>
      </c>
      <c r="I6" s="254" t="s">
        <v>518</v>
      </c>
    </row>
    <row r="7" spans="1:9" ht="21.75" customHeight="1" x14ac:dyDescent="0.25">
      <c r="A7" s="255" t="s">
        <v>519</v>
      </c>
      <c r="B7" s="256">
        <v>144.81489999999999</v>
      </c>
      <c r="C7" s="257">
        <v>154.91470000000001</v>
      </c>
      <c r="D7" s="202">
        <v>6.9742823424937803E-2</v>
      </c>
      <c r="E7" s="258">
        <v>151.430652442997</v>
      </c>
      <c r="F7" s="258">
        <v>144.22819999999999</v>
      </c>
      <c r="G7" s="258">
        <v>155.6387</v>
      </c>
      <c r="H7" s="259">
        <v>145.02886846153899</v>
      </c>
      <c r="I7" s="260" t="s">
        <v>520</v>
      </c>
    </row>
    <row r="8" spans="1:9" ht="21.75" customHeight="1" x14ac:dyDescent="0.25">
      <c r="A8" s="261" t="s">
        <v>521</v>
      </c>
      <c r="B8" s="250">
        <v>92.622600000000006</v>
      </c>
      <c r="C8" s="251">
        <v>96.428799999999995</v>
      </c>
      <c r="D8" s="211">
        <v>4.1093642372379897E-2</v>
      </c>
      <c r="E8" s="252">
        <v>94.653582410423496</v>
      </c>
      <c r="F8" s="252">
        <v>92.3249</v>
      </c>
      <c r="G8" s="252">
        <v>97.263800000000003</v>
      </c>
      <c r="H8" s="253">
        <v>97.880105384615405</v>
      </c>
      <c r="I8" s="254" t="s">
        <v>522</v>
      </c>
    </row>
    <row r="9" spans="1:9" ht="21.75" customHeight="1" x14ac:dyDescent="0.25">
      <c r="A9" s="262" t="s">
        <v>523</v>
      </c>
      <c r="B9" s="256">
        <v>172.6352</v>
      </c>
      <c r="C9" s="257">
        <v>179.32689999999999</v>
      </c>
      <c r="D9" s="202">
        <v>3.8762083283131098E-2</v>
      </c>
      <c r="E9" s="258">
        <v>175.281356677524</v>
      </c>
      <c r="F9" s="258">
        <v>170.36369999999999</v>
      </c>
      <c r="G9" s="258">
        <v>179.9348</v>
      </c>
      <c r="H9" s="259">
        <v>171.33571942307699</v>
      </c>
      <c r="I9" s="260" t="s">
        <v>524</v>
      </c>
    </row>
    <row r="10" spans="1:9" ht="21.75" customHeight="1" x14ac:dyDescent="0.25">
      <c r="A10" s="263" t="s">
        <v>525</v>
      </c>
      <c r="B10" s="250">
        <v>151.15610000000001</v>
      </c>
      <c r="C10" s="251">
        <v>169.6799</v>
      </c>
      <c r="D10" s="211">
        <v>0.122547485678712</v>
      </c>
      <c r="E10" s="252">
        <v>163.01021270358299</v>
      </c>
      <c r="F10" s="252">
        <v>150.8039</v>
      </c>
      <c r="G10" s="252">
        <v>170.21680000000001</v>
      </c>
      <c r="H10" s="253">
        <v>152.322487115385</v>
      </c>
      <c r="I10" s="254" t="s">
        <v>526</v>
      </c>
    </row>
    <row r="12" spans="1:9" ht="39.75" customHeight="1" x14ac:dyDescent="0.25">
      <c r="A12" s="352" t="s">
        <v>527</v>
      </c>
      <c r="B12" s="341"/>
      <c r="C12" s="341"/>
      <c r="D12" s="341"/>
      <c r="E12" s="341"/>
      <c r="F12" s="341"/>
      <c r="G12" s="341"/>
      <c r="H12" s="341"/>
      <c r="I12" s="341"/>
    </row>
    <row r="15" spans="1:9" ht="24" customHeight="1" x14ac:dyDescent="0.25">
      <c r="A15" s="345" t="s">
        <v>528</v>
      </c>
      <c r="B15" s="341"/>
      <c r="C15" s="341"/>
      <c r="D15" s="341"/>
      <c r="E15" s="341"/>
      <c r="F15" s="341"/>
      <c r="G15" s="341"/>
      <c r="H15" s="341"/>
      <c r="I15" s="341"/>
    </row>
    <row r="16" spans="1:9" ht="27.75" customHeight="1" x14ac:dyDescent="0.25">
      <c r="A16" s="2" t="s">
        <v>529</v>
      </c>
      <c r="B16" s="2" t="s">
        <v>510</v>
      </c>
      <c r="C16" s="2" t="s">
        <v>515</v>
      </c>
      <c r="D16" s="2" t="s">
        <v>530</v>
      </c>
      <c r="E16" s="2" t="s">
        <v>531</v>
      </c>
      <c r="F16" s="2" t="s">
        <v>532</v>
      </c>
      <c r="G16" s="2" t="s">
        <v>533</v>
      </c>
      <c r="H16" s="2" t="s">
        <v>534</v>
      </c>
      <c r="I16" s="2" t="s">
        <v>535</v>
      </c>
    </row>
    <row r="17" spans="1:9" ht="19.5" customHeight="1" x14ac:dyDescent="0.25">
      <c r="A17" s="264" t="s">
        <v>536</v>
      </c>
      <c r="B17" s="265">
        <v>36.239899999999999</v>
      </c>
      <c r="C17" s="265">
        <v>36.497546538461499</v>
      </c>
      <c r="D17" s="265">
        <v>36.987556730769199</v>
      </c>
      <c r="E17" s="265">
        <v>38.661093269230797</v>
      </c>
      <c r="F17" s="211">
        <v>8.0050956689594506E-3</v>
      </c>
      <c r="G17" s="217">
        <v>-1.76014632077093E-3</v>
      </c>
      <c r="H17" s="266">
        <v>6861</v>
      </c>
      <c r="I17" s="266" t="s">
        <v>537</v>
      </c>
    </row>
    <row r="18" spans="1:9" ht="19.5" customHeight="1" x14ac:dyDescent="0.25">
      <c r="A18" s="267" t="s">
        <v>521</v>
      </c>
      <c r="B18" s="268">
        <v>96.428799999999995</v>
      </c>
      <c r="C18" s="268">
        <v>97.880105384615405</v>
      </c>
      <c r="D18" s="268">
        <v>100.67021903846199</v>
      </c>
      <c r="E18" s="268">
        <v>109.23858365384601</v>
      </c>
      <c r="F18" s="145">
        <v>9.6849032807219801E-4</v>
      </c>
      <c r="G18" s="145">
        <v>4.1093642372379897E-2</v>
      </c>
      <c r="H18" s="269">
        <v>6861</v>
      </c>
      <c r="I18" s="269" t="s">
        <v>537</v>
      </c>
    </row>
    <row r="19" spans="1:9" ht="19.5" customHeight="1" x14ac:dyDescent="0.25">
      <c r="A19" s="102" t="s">
        <v>525</v>
      </c>
      <c r="B19" s="268">
        <v>169.6799</v>
      </c>
      <c r="C19" s="268">
        <v>152.322487115385</v>
      </c>
      <c r="D19" s="268">
        <v>151.222703269231</v>
      </c>
      <c r="E19" s="268">
        <v>148.786243076923</v>
      </c>
      <c r="F19" s="145">
        <v>5.4878192829957401E-2</v>
      </c>
      <c r="G19" s="145">
        <v>0.122547485678712</v>
      </c>
      <c r="H19" s="269">
        <v>6861</v>
      </c>
      <c r="I19" s="269" t="s">
        <v>537</v>
      </c>
    </row>
    <row r="20" spans="1:9" ht="19.5" customHeight="1" x14ac:dyDescent="0.25">
      <c r="A20" s="270" t="s">
        <v>538</v>
      </c>
      <c r="B20" s="271">
        <v>19.613399999999999</v>
      </c>
      <c r="C20" s="271">
        <v>18.626801730769198</v>
      </c>
      <c r="D20" s="271">
        <v>19.189568653846202</v>
      </c>
      <c r="E20" s="271">
        <v>21.137790769230801</v>
      </c>
      <c r="F20" s="202">
        <v>6.6809535982942606E-2</v>
      </c>
      <c r="G20" s="202">
        <v>6.5378222468467806E-2</v>
      </c>
      <c r="H20" s="272">
        <v>2701</v>
      </c>
      <c r="I20" s="272" t="s">
        <v>539</v>
      </c>
    </row>
    <row r="21" spans="1:9" ht="19.5" customHeight="1" x14ac:dyDescent="0.25">
      <c r="A21" s="273" t="s">
        <v>540</v>
      </c>
      <c r="B21" s="265">
        <v>20.7317</v>
      </c>
      <c r="C21" s="265">
        <v>19.446192115384601</v>
      </c>
      <c r="D21" s="265">
        <v>19.7165717307692</v>
      </c>
      <c r="E21" s="265">
        <v>20.1087140384615</v>
      </c>
      <c r="F21" s="211">
        <v>2.79349275843775E-2</v>
      </c>
      <c r="G21" s="211">
        <v>6.7945211124676094E-2</v>
      </c>
      <c r="H21" s="266">
        <v>6861</v>
      </c>
      <c r="I21" s="266" t="s">
        <v>537</v>
      </c>
    </row>
    <row r="22" spans="1:9" ht="19.5" customHeight="1" x14ac:dyDescent="0.25">
      <c r="A22" s="274" t="s">
        <v>519</v>
      </c>
      <c r="B22" s="268">
        <v>154.91470000000001</v>
      </c>
      <c r="C22" s="268">
        <v>145.02886846153899</v>
      </c>
      <c r="D22" s="268">
        <v>146.85065750000001</v>
      </c>
      <c r="E22" s="268">
        <v>149.57683826923099</v>
      </c>
      <c r="F22" s="145">
        <v>3.3235133063921798E-2</v>
      </c>
      <c r="G22" s="145">
        <v>6.9742823424937803E-2</v>
      </c>
      <c r="H22" s="269">
        <v>6861</v>
      </c>
      <c r="I22" s="269" t="s">
        <v>537</v>
      </c>
    </row>
    <row r="23" spans="1:9" ht="19.5" customHeight="1" x14ac:dyDescent="0.25">
      <c r="A23" s="275" t="s">
        <v>523</v>
      </c>
      <c r="B23" s="268">
        <v>179.32689999999999</v>
      </c>
      <c r="C23" s="268">
        <v>171.33571942307699</v>
      </c>
      <c r="D23" s="268">
        <v>168.909304615385</v>
      </c>
      <c r="E23" s="268">
        <v>175.65591653846201</v>
      </c>
      <c r="F23" s="145">
        <v>7.8019009180910995E-4</v>
      </c>
      <c r="G23" s="145">
        <v>3.8762083283131098E-2</v>
      </c>
      <c r="H23" s="269">
        <v>6861</v>
      </c>
      <c r="I23" s="269" t="s">
        <v>537</v>
      </c>
    </row>
    <row r="24" spans="1:9" ht="19.5" customHeight="1" x14ac:dyDescent="0.25">
      <c r="A24" s="276" t="s">
        <v>541</v>
      </c>
      <c r="B24" s="271">
        <v>83.611599999999996</v>
      </c>
      <c r="C24" s="271">
        <v>88.611143653846199</v>
      </c>
      <c r="D24" s="271">
        <v>96.895879230769197</v>
      </c>
      <c r="E24" s="271">
        <v>108.6991975</v>
      </c>
      <c r="F24" s="204">
        <v>-9.5229077640433799E-2</v>
      </c>
      <c r="G24" s="204">
        <v>-7.23294060736243E-2</v>
      </c>
      <c r="H24" s="272">
        <v>6861</v>
      </c>
      <c r="I24" s="272" t="s">
        <v>537</v>
      </c>
    </row>
    <row r="25" spans="1:9" ht="19.5" customHeight="1" x14ac:dyDescent="0.25">
      <c r="A25" s="277" t="s">
        <v>542</v>
      </c>
      <c r="B25" s="265">
        <v>433.92149999999998</v>
      </c>
      <c r="C25" s="265">
        <v>436.78670826923099</v>
      </c>
      <c r="D25" s="265">
        <v>441.912955192308</v>
      </c>
      <c r="E25" s="265">
        <v>463.4984475</v>
      </c>
      <c r="F25" s="211">
        <v>6.9922036812919098E-3</v>
      </c>
      <c r="G25" s="211">
        <v>2.6730461148979502E-3</v>
      </c>
      <c r="H25" s="266">
        <v>6861</v>
      </c>
      <c r="I25" s="266" t="s">
        <v>537</v>
      </c>
    </row>
    <row r="26" spans="1:9" ht="19.5" customHeight="1" x14ac:dyDescent="0.25">
      <c r="A26" s="278" t="s">
        <v>543</v>
      </c>
      <c r="B26" s="271">
        <v>20.955400000000001</v>
      </c>
      <c r="C26" s="271">
        <v>27.612827307692299</v>
      </c>
      <c r="D26" s="271">
        <v>28.220946923076902</v>
      </c>
      <c r="E26" s="271">
        <v>29.5660034615385</v>
      </c>
      <c r="F26" s="204">
        <v>-0.13641177803877899</v>
      </c>
      <c r="G26" s="204">
        <v>-0.243544713216688</v>
      </c>
      <c r="H26" s="272">
        <v>6859</v>
      </c>
      <c r="I26" s="272" t="s">
        <v>537</v>
      </c>
    </row>
    <row r="27" spans="1:9" ht="19.5" customHeight="1" x14ac:dyDescent="0.25">
      <c r="A27" s="279" t="s">
        <v>544</v>
      </c>
      <c r="B27" s="265">
        <v>14.458600000000001</v>
      </c>
      <c r="C27" s="265">
        <v>13.4871651923077</v>
      </c>
      <c r="D27" s="265">
        <v>13.4098294230769</v>
      </c>
      <c r="E27" s="265">
        <v>14.015734807692301</v>
      </c>
      <c r="F27" s="211">
        <v>8.2635407005530598E-3</v>
      </c>
      <c r="G27" s="211">
        <v>5.0602374620336898E-2</v>
      </c>
      <c r="H27" s="266">
        <v>6861</v>
      </c>
      <c r="I27" s="266" t="s">
        <v>537</v>
      </c>
    </row>
    <row r="28" spans="1:9" ht="19.5" customHeight="1" x14ac:dyDescent="0.25">
      <c r="A28" s="280" t="s">
        <v>545</v>
      </c>
      <c r="B28" s="271">
        <v>0.40355000000000002</v>
      </c>
      <c r="C28" s="272" t="s">
        <v>546</v>
      </c>
      <c r="D28" s="272" t="s">
        <v>546</v>
      </c>
      <c r="E28" s="272" t="s">
        <v>546</v>
      </c>
      <c r="F28" s="202">
        <v>8.1758477415896105E-2</v>
      </c>
      <c r="G28" s="272" t="s">
        <v>546</v>
      </c>
      <c r="H28" s="272">
        <v>4806</v>
      </c>
      <c r="I28" s="272" t="s">
        <v>537</v>
      </c>
    </row>
    <row r="29" spans="1:9" ht="19.5" customHeight="1" x14ac:dyDescent="0.25">
      <c r="A29" s="281" t="s">
        <v>547</v>
      </c>
      <c r="B29" s="265">
        <v>14.384</v>
      </c>
      <c r="C29" s="265">
        <v>12.4727075</v>
      </c>
      <c r="D29" s="265">
        <v>12.872056923076901</v>
      </c>
      <c r="E29" s="265">
        <v>14.823800384615399</v>
      </c>
      <c r="F29" s="211">
        <v>9.6884889617569706E-2</v>
      </c>
      <c r="G29" s="211">
        <v>0.15111598389846101</v>
      </c>
      <c r="H29" s="266">
        <v>6861</v>
      </c>
      <c r="I29" s="266" t="s">
        <v>537</v>
      </c>
    </row>
    <row r="30" spans="1:9" ht="19.5" customHeight="1" x14ac:dyDescent="0.25">
      <c r="A30" s="282" t="s">
        <v>548</v>
      </c>
      <c r="B30" s="271">
        <v>35.472099999999998</v>
      </c>
      <c r="C30" s="271">
        <v>35.725099999999998</v>
      </c>
      <c r="D30" s="271">
        <v>36.208266153846203</v>
      </c>
      <c r="E30" s="271">
        <v>37.819334423076903</v>
      </c>
      <c r="F30" s="202">
        <v>7.4954130003805804E-3</v>
      </c>
      <c r="G30" s="204">
        <v>-2.19970014317748E-3</v>
      </c>
      <c r="H30" s="272">
        <v>6861</v>
      </c>
      <c r="I30" s="272" t="s">
        <v>537</v>
      </c>
    </row>
    <row r="31" spans="1:9" ht="19.5" customHeight="1" x14ac:dyDescent="0.25">
      <c r="A31" s="283" t="s">
        <v>549</v>
      </c>
      <c r="B31" s="265">
        <v>14.3109</v>
      </c>
      <c r="C31" s="265">
        <v>12.686870192307699</v>
      </c>
      <c r="D31" s="265">
        <v>12.8108642307692</v>
      </c>
      <c r="E31" s="265">
        <v>14.0908253846154</v>
      </c>
      <c r="F31" s="211">
        <v>2.8222242978567399E-2</v>
      </c>
      <c r="G31" s="211">
        <v>8.5483051297415902E-2</v>
      </c>
      <c r="H31" s="266">
        <v>6861</v>
      </c>
      <c r="I31" s="266" t="s">
        <v>537</v>
      </c>
    </row>
    <row r="32" spans="1:9" ht="19.5" customHeight="1" x14ac:dyDescent="0.25">
      <c r="A32" s="284" t="s">
        <v>550</v>
      </c>
      <c r="B32" s="271">
        <v>45.559100000000001</v>
      </c>
      <c r="C32" s="271">
        <v>43.0341344230769</v>
      </c>
      <c r="D32" s="271">
        <v>43.868759615384597</v>
      </c>
      <c r="E32" s="271">
        <v>46.309753269230796</v>
      </c>
      <c r="F32" s="202">
        <v>3.0972790470328498E-2</v>
      </c>
      <c r="G32" s="202">
        <v>5.5581299437908002E-2</v>
      </c>
      <c r="H32" s="272">
        <v>6861</v>
      </c>
      <c r="I32" s="272" t="s">
        <v>537</v>
      </c>
    </row>
    <row r="33" spans="1:9" ht="19.5" customHeight="1" x14ac:dyDescent="0.25">
      <c r="A33" s="285" t="s">
        <v>517</v>
      </c>
      <c r="B33" s="268">
        <v>133.1054</v>
      </c>
      <c r="C33" s="268">
        <v>134.05211307692301</v>
      </c>
      <c r="D33" s="268">
        <v>135.847674230769</v>
      </c>
      <c r="E33" s="268">
        <v>142.00320692307699</v>
      </c>
      <c r="F33" s="145">
        <v>7.9779238314633405E-3</v>
      </c>
      <c r="G33" s="286">
        <v>-1.72048107470817E-3</v>
      </c>
      <c r="H33" s="269">
        <v>6861</v>
      </c>
      <c r="I33" s="269" t="s">
        <v>537</v>
      </c>
    </row>
    <row r="37" spans="1:9" ht="24" customHeight="1" x14ac:dyDescent="0.25">
      <c r="A37" s="345" t="s">
        <v>551</v>
      </c>
      <c r="B37" s="341"/>
      <c r="C37" s="341"/>
      <c r="D37" s="341"/>
      <c r="E37" s="341"/>
      <c r="F37" s="341"/>
      <c r="G37" s="341"/>
      <c r="H37" s="341"/>
      <c r="I37" s="341"/>
    </row>
    <row r="38" spans="1:9" ht="27.75" customHeight="1" x14ac:dyDescent="0.25">
      <c r="A38" s="2" t="s">
        <v>2</v>
      </c>
      <c r="B38" s="2" t="s">
        <v>517</v>
      </c>
      <c r="C38" s="2" t="s">
        <v>519</v>
      </c>
      <c r="D38" s="2" t="s">
        <v>521</v>
      </c>
      <c r="E38" s="2" t="s">
        <v>523</v>
      </c>
      <c r="F38" s="2" t="s">
        <v>525</v>
      </c>
      <c r="G38" s="2" t="s">
        <v>552</v>
      </c>
      <c r="H38" s="2" t="s">
        <v>553</v>
      </c>
    </row>
    <row r="39" spans="1:9" ht="15" customHeight="1" x14ac:dyDescent="0.25">
      <c r="A39" s="223">
        <v>45729</v>
      </c>
      <c r="B39" s="265">
        <v>133.3348</v>
      </c>
      <c r="C39" s="265">
        <v>144.81489999999999</v>
      </c>
      <c r="D39" s="265">
        <v>92.622600000000006</v>
      </c>
      <c r="E39" s="265">
        <v>172.6352</v>
      </c>
      <c r="F39" s="265">
        <v>151.15610000000001</v>
      </c>
      <c r="G39" s="225" t="s">
        <v>18</v>
      </c>
      <c r="H39" s="225" t="s">
        <v>18</v>
      </c>
    </row>
    <row r="40" spans="1:9" ht="15" customHeight="1" x14ac:dyDescent="0.25">
      <c r="A40" s="227">
        <v>45730</v>
      </c>
      <c r="B40" s="271">
        <v>133.4331</v>
      </c>
      <c r="C40" s="271">
        <v>144.6815</v>
      </c>
      <c r="D40" s="271">
        <v>92.517300000000006</v>
      </c>
      <c r="E40" s="271">
        <v>172.5838</v>
      </c>
      <c r="F40" s="271">
        <v>151.00219999999999</v>
      </c>
      <c r="G40" s="287">
        <v>7.3724189033908005E-4</v>
      </c>
      <c r="H40" s="288">
        <v>-9.21175928719986E-4</v>
      </c>
    </row>
    <row r="41" spans="1:9" ht="15" customHeight="1" x14ac:dyDescent="0.25">
      <c r="A41" s="223">
        <v>45733</v>
      </c>
      <c r="B41" s="265">
        <v>133.2654</v>
      </c>
      <c r="C41" s="265">
        <v>144.95949999999999</v>
      </c>
      <c r="D41" s="265">
        <v>92.774100000000004</v>
      </c>
      <c r="E41" s="265">
        <v>172.37799999999999</v>
      </c>
      <c r="F41" s="265">
        <v>150.8039</v>
      </c>
      <c r="G41" s="289">
        <v>-1.2568095922226301E-3</v>
      </c>
      <c r="H41" s="290">
        <v>1.9214619699132701E-3</v>
      </c>
    </row>
    <row r="42" spans="1:9" ht="15" customHeight="1" x14ac:dyDescent="0.25">
      <c r="A42" s="227">
        <v>45734</v>
      </c>
      <c r="B42" s="271">
        <v>133.0959</v>
      </c>
      <c r="C42" s="271">
        <v>145.33410000000001</v>
      </c>
      <c r="D42" s="271">
        <v>93.181600000000003</v>
      </c>
      <c r="E42" s="271">
        <v>172.98660000000001</v>
      </c>
      <c r="F42" s="271">
        <v>151.23679999999999</v>
      </c>
      <c r="G42" s="288">
        <v>-1.2718980320473E-3</v>
      </c>
      <c r="H42" s="287">
        <v>2.5841700612931899E-3</v>
      </c>
    </row>
    <row r="43" spans="1:9" ht="15" customHeight="1" x14ac:dyDescent="0.25">
      <c r="A43" s="223">
        <v>45735</v>
      </c>
      <c r="B43" s="265">
        <v>133.297</v>
      </c>
      <c r="C43" s="265">
        <v>145.33369999999999</v>
      </c>
      <c r="D43" s="265">
        <v>93.149600000000007</v>
      </c>
      <c r="E43" s="265">
        <v>172.98939999999999</v>
      </c>
      <c r="F43" s="265">
        <v>151.91409999999999</v>
      </c>
      <c r="G43" s="290">
        <v>1.51094060748669E-3</v>
      </c>
      <c r="H43" s="289">
        <v>-2.75227905921494E-6</v>
      </c>
    </row>
    <row r="44" spans="1:9" ht="15" customHeight="1" x14ac:dyDescent="0.25">
      <c r="A44" s="227">
        <v>45736</v>
      </c>
      <c r="B44" s="271">
        <v>133.43010000000001</v>
      </c>
      <c r="C44" s="271">
        <v>145.08519999999999</v>
      </c>
      <c r="D44" s="271">
        <v>92.992400000000004</v>
      </c>
      <c r="E44" s="271">
        <v>173.07230000000001</v>
      </c>
      <c r="F44" s="271">
        <v>152.1525</v>
      </c>
      <c r="G44" s="287">
        <v>9.9852209727169195E-4</v>
      </c>
      <c r="H44" s="288">
        <v>-1.7098580714590701E-3</v>
      </c>
    </row>
    <row r="45" spans="1:9" ht="15" customHeight="1" x14ac:dyDescent="0.25">
      <c r="A45" s="223">
        <v>45737</v>
      </c>
      <c r="B45" s="265">
        <v>133.6618</v>
      </c>
      <c r="C45" s="265">
        <v>144.7424</v>
      </c>
      <c r="D45" s="265">
        <v>93.251300000000001</v>
      </c>
      <c r="E45" s="265">
        <v>172.76779999999999</v>
      </c>
      <c r="F45" s="265">
        <v>151.2525</v>
      </c>
      <c r="G45" s="290">
        <v>1.7364897425693501E-3</v>
      </c>
      <c r="H45" s="289">
        <v>-2.3627496119520402E-3</v>
      </c>
    </row>
    <row r="46" spans="1:9" ht="15" customHeight="1" x14ac:dyDescent="0.25">
      <c r="A46" s="227">
        <v>45740</v>
      </c>
      <c r="B46" s="271">
        <v>133.60380000000001</v>
      </c>
      <c r="C46" s="271">
        <v>144.85990000000001</v>
      </c>
      <c r="D46" s="271">
        <v>93.204400000000007</v>
      </c>
      <c r="E46" s="271">
        <v>173.0059</v>
      </c>
      <c r="F46" s="271">
        <v>151.39250000000001</v>
      </c>
      <c r="G46" s="288">
        <v>-4.3393101095445802E-4</v>
      </c>
      <c r="H46" s="287">
        <v>8.1178700919703995E-4</v>
      </c>
    </row>
    <row r="47" spans="1:9" ht="15" customHeight="1" x14ac:dyDescent="0.25">
      <c r="A47" s="223">
        <v>45741</v>
      </c>
      <c r="B47" s="265">
        <v>133.87020000000001</v>
      </c>
      <c r="C47" s="265">
        <v>144.43260000000001</v>
      </c>
      <c r="D47" s="265">
        <v>93.468500000000006</v>
      </c>
      <c r="E47" s="265">
        <v>172.81379999999999</v>
      </c>
      <c r="F47" s="265">
        <v>151.32560000000001</v>
      </c>
      <c r="G47" s="290">
        <v>1.9939552617516099E-3</v>
      </c>
      <c r="H47" s="289">
        <v>-2.9497466172487799E-3</v>
      </c>
    </row>
    <row r="48" spans="1:9" ht="15" customHeight="1" x14ac:dyDescent="0.25">
      <c r="A48" s="227">
        <v>45742</v>
      </c>
      <c r="B48" s="271">
        <v>133.876</v>
      </c>
      <c r="C48" s="271">
        <v>144.40539999999999</v>
      </c>
      <c r="D48" s="271">
        <v>93.964600000000004</v>
      </c>
      <c r="E48" s="271">
        <v>172.85480000000001</v>
      </c>
      <c r="F48" s="271">
        <v>151.5463</v>
      </c>
      <c r="G48" s="287">
        <v>4.3325549674122499E-5</v>
      </c>
      <c r="H48" s="288">
        <v>-1.8832313480487999E-4</v>
      </c>
    </row>
    <row r="49" spans="1:8" ht="15" customHeight="1" x14ac:dyDescent="0.25">
      <c r="A49" s="223">
        <v>45743</v>
      </c>
      <c r="B49" s="265">
        <v>133.9975</v>
      </c>
      <c r="C49" s="265">
        <v>144.22819999999999</v>
      </c>
      <c r="D49" s="265">
        <v>93.740600000000001</v>
      </c>
      <c r="E49" s="265">
        <v>172.97819999999999</v>
      </c>
      <c r="F49" s="265">
        <v>151.58090000000001</v>
      </c>
      <c r="G49" s="290">
        <v>9.0755624607852302E-4</v>
      </c>
      <c r="H49" s="289">
        <v>-1.2271009255886401E-3</v>
      </c>
    </row>
    <row r="50" spans="1:8" ht="15" customHeight="1" x14ac:dyDescent="0.25">
      <c r="A50" s="227">
        <v>45744</v>
      </c>
      <c r="B50" s="271">
        <v>133.93389999999999</v>
      </c>
      <c r="C50" s="271">
        <v>144.34729999999999</v>
      </c>
      <c r="D50" s="271">
        <v>93.506500000000003</v>
      </c>
      <c r="E50" s="271">
        <v>173.37729999999999</v>
      </c>
      <c r="F50" s="271">
        <v>151.80950000000001</v>
      </c>
      <c r="G50" s="288">
        <v>-4.74635720815742E-4</v>
      </c>
      <c r="H50" s="287">
        <v>8.25774709800164E-4</v>
      </c>
    </row>
    <row r="51" spans="1:8" ht="15" customHeight="1" x14ac:dyDescent="0.25">
      <c r="A51" s="223">
        <v>45747</v>
      </c>
      <c r="B51" s="265">
        <v>133.71969999999999</v>
      </c>
      <c r="C51" s="265">
        <v>144.66470000000001</v>
      </c>
      <c r="D51" s="265">
        <v>93.259200000000007</v>
      </c>
      <c r="E51" s="265">
        <v>173.08879999999999</v>
      </c>
      <c r="F51" s="265">
        <v>151.67850000000001</v>
      </c>
      <c r="G51" s="289">
        <v>-1.59929636932854E-3</v>
      </c>
      <c r="H51" s="290">
        <v>2.1988634356169298E-3</v>
      </c>
    </row>
    <row r="52" spans="1:8" ht="15" customHeight="1" x14ac:dyDescent="0.25">
      <c r="A52" s="227">
        <v>45748</v>
      </c>
      <c r="B52" s="271">
        <v>133.7602</v>
      </c>
      <c r="C52" s="271">
        <v>144.62819999999999</v>
      </c>
      <c r="D52" s="271">
        <v>92.976200000000006</v>
      </c>
      <c r="E52" s="271">
        <v>172.93969999999999</v>
      </c>
      <c r="F52" s="271">
        <v>151.51820000000001</v>
      </c>
      <c r="G52" s="287">
        <v>3.0287235164316899E-4</v>
      </c>
      <c r="H52" s="288">
        <v>-2.5230757745331499E-4</v>
      </c>
    </row>
    <row r="53" spans="1:8" ht="15" customHeight="1" x14ac:dyDescent="0.25">
      <c r="A53" s="223">
        <v>45749</v>
      </c>
      <c r="B53" s="265">
        <v>133.81229999999999</v>
      </c>
      <c r="C53" s="265">
        <v>144.51060000000001</v>
      </c>
      <c r="D53" s="265">
        <v>93.529300000000006</v>
      </c>
      <c r="E53" s="265">
        <v>172.78370000000001</v>
      </c>
      <c r="F53" s="265">
        <v>151.30289999999999</v>
      </c>
      <c r="G53" s="290">
        <v>3.89503006125835E-4</v>
      </c>
      <c r="H53" s="289">
        <v>-8.1311943313944202E-4</v>
      </c>
    </row>
    <row r="54" spans="1:8" ht="15" customHeight="1" x14ac:dyDescent="0.25">
      <c r="A54" s="227">
        <v>45750</v>
      </c>
      <c r="B54" s="271">
        <v>133.2218</v>
      </c>
      <c r="C54" s="271">
        <v>145.31829999999999</v>
      </c>
      <c r="D54" s="271">
        <v>94.06</v>
      </c>
      <c r="E54" s="271">
        <v>175.00409999999999</v>
      </c>
      <c r="F54" s="271">
        <v>153.40180000000001</v>
      </c>
      <c r="G54" s="288">
        <v>-4.41289776799292E-3</v>
      </c>
      <c r="H54" s="287">
        <v>5.5892093728764402E-3</v>
      </c>
    </row>
    <row r="55" spans="1:8" ht="15" customHeight="1" x14ac:dyDescent="0.25">
      <c r="A55" s="223">
        <v>45751</v>
      </c>
      <c r="B55" s="265">
        <v>133.2576</v>
      </c>
      <c r="C55" s="265">
        <v>146.4768</v>
      </c>
      <c r="D55" s="265">
        <v>94.161699999999996</v>
      </c>
      <c r="E55" s="265">
        <v>173.25309999999999</v>
      </c>
      <c r="F55" s="265">
        <v>155.7749</v>
      </c>
      <c r="G55" s="290">
        <v>2.6872478828532398E-4</v>
      </c>
      <c r="H55" s="290">
        <v>7.97215491785974E-3</v>
      </c>
    </row>
    <row r="56" spans="1:8" ht="15" customHeight="1" x14ac:dyDescent="0.25">
      <c r="A56" s="227">
        <v>45754</v>
      </c>
      <c r="B56" s="271">
        <v>133.2518</v>
      </c>
      <c r="C56" s="271">
        <v>146.6103</v>
      </c>
      <c r="D56" s="271">
        <v>93.694199999999995</v>
      </c>
      <c r="E56" s="271">
        <v>171.92670000000001</v>
      </c>
      <c r="F56" s="271">
        <v>157.1737</v>
      </c>
      <c r="G56" s="288">
        <v>-4.3524722042054299E-5</v>
      </c>
      <c r="H56" s="287">
        <v>9.1140713068549296E-4</v>
      </c>
    </row>
    <row r="57" spans="1:8" ht="15" customHeight="1" x14ac:dyDescent="0.25">
      <c r="A57" s="223">
        <v>45755</v>
      </c>
      <c r="B57" s="265">
        <v>133.583</v>
      </c>
      <c r="C57" s="265">
        <v>146.16659999999999</v>
      </c>
      <c r="D57" s="265">
        <v>94.182000000000002</v>
      </c>
      <c r="E57" s="265">
        <v>170.41909999999999</v>
      </c>
      <c r="F57" s="265">
        <v>155.63679999999999</v>
      </c>
      <c r="G57" s="290">
        <v>2.48551989541612E-3</v>
      </c>
      <c r="H57" s="289">
        <v>-3.0263903695716401E-3</v>
      </c>
    </row>
    <row r="58" spans="1:8" ht="15" customHeight="1" x14ac:dyDescent="0.25">
      <c r="A58" s="227">
        <v>45756</v>
      </c>
      <c r="B58" s="271">
        <v>133.2227</v>
      </c>
      <c r="C58" s="271">
        <v>146.7448</v>
      </c>
      <c r="D58" s="271">
        <v>93.795699999999997</v>
      </c>
      <c r="E58" s="271">
        <v>170.4924</v>
      </c>
      <c r="F58" s="271">
        <v>157.54820000000001</v>
      </c>
      <c r="G58" s="288">
        <v>-2.69719949394753E-3</v>
      </c>
      <c r="H58" s="287">
        <v>3.9557600710422598E-3</v>
      </c>
    </row>
    <row r="59" spans="1:8" ht="15" customHeight="1" x14ac:dyDescent="0.25">
      <c r="A59" s="223">
        <v>45757</v>
      </c>
      <c r="B59" s="265">
        <v>133.21119999999999</v>
      </c>
      <c r="C59" s="265">
        <v>146.7055</v>
      </c>
      <c r="D59" s="265">
        <v>94.721199999999996</v>
      </c>
      <c r="E59" s="265">
        <v>171.45410000000001</v>
      </c>
      <c r="F59" s="265">
        <v>156.5994</v>
      </c>
      <c r="G59" s="289">
        <v>-8.6321625368701596E-5</v>
      </c>
      <c r="H59" s="289">
        <v>-2.6781187476487801E-4</v>
      </c>
    </row>
    <row r="60" spans="1:8" ht="15" customHeight="1" x14ac:dyDescent="0.25">
      <c r="A60" s="227">
        <v>45758</v>
      </c>
      <c r="B60" s="271">
        <v>131.82249999999999</v>
      </c>
      <c r="C60" s="271">
        <v>148.9727</v>
      </c>
      <c r="D60" s="271">
        <v>94.757999999999996</v>
      </c>
      <c r="E60" s="271">
        <v>172.0471</v>
      </c>
      <c r="F60" s="271">
        <v>161.06360000000001</v>
      </c>
      <c r="G60" s="288">
        <v>-1.0424799115990299E-2</v>
      </c>
      <c r="H60" s="287">
        <v>1.5454089996625999E-2</v>
      </c>
    </row>
    <row r="61" spans="1:8" ht="15" customHeight="1" x14ac:dyDescent="0.25">
      <c r="A61" s="223">
        <v>45761</v>
      </c>
      <c r="B61" s="265">
        <v>132.38480000000001</v>
      </c>
      <c r="C61" s="265">
        <v>150.42230000000001</v>
      </c>
      <c r="D61" s="265">
        <v>95.667599999999993</v>
      </c>
      <c r="E61" s="265">
        <v>174.2593</v>
      </c>
      <c r="F61" s="265">
        <v>161.78030000000001</v>
      </c>
      <c r="G61" s="290">
        <v>4.2655844032697399E-3</v>
      </c>
      <c r="H61" s="290">
        <v>9.7306419229832297E-3</v>
      </c>
    </row>
    <row r="62" spans="1:8" ht="15" customHeight="1" x14ac:dyDescent="0.25">
      <c r="A62" s="227">
        <v>45762</v>
      </c>
      <c r="B62" s="271">
        <v>132.37889999999999</v>
      </c>
      <c r="C62" s="271">
        <v>150.4487</v>
      </c>
      <c r="D62" s="271">
        <v>95.515000000000001</v>
      </c>
      <c r="E62" s="271">
        <v>175.16229999999999</v>
      </c>
      <c r="F62" s="271">
        <v>162.50790000000001</v>
      </c>
      <c r="G62" s="288">
        <v>-4.4567049993893298E-5</v>
      </c>
      <c r="H62" s="287">
        <v>1.7550589241088801E-4</v>
      </c>
    </row>
    <row r="63" spans="1:8" ht="15" customHeight="1" x14ac:dyDescent="0.25">
      <c r="A63" s="223">
        <v>45763</v>
      </c>
      <c r="B63" s="265">
        <v>132.31460000000001</v>
      </c>
      <c r="C63" s="265">
        <v>150.56739999999999</v>
      </c>
      <c r="D63" s="265">
        <v>95.063900000000004</v>
      </c>
      <c r="E63" s="265">
        <v>175.6583</v>
      </c>
      <c r="F63" s="265">
        <v>162.4589</v>
      </c>
      <c r="G63" s="289">
        <v>-4.8572695497528501E-4</v>
      </c>
      <c r="H63" s="290">
        <v>7.8897325134730299E-4</v>
      </c>
    </row>
    <row r="64" spans="1:8" ht="15" customHeight="1" x14ac:dyDescent="0.25">
      <c r="A64" s="227">
        <v>45764</v>
      </c>
      <c r="B64" s="271">
        <v>132.30869999999999</v>
      </c>
      <c r="C64" s="271">
        <v>150.52760000000001</v>
      </c>
      <c r="D64" s="271">
        <v>95.371399999999994</v>
      </c>
      <c r="E64" s="271">
        <v>175.1969</v>
      </c>
      <c r="F64" s="271">
        <v>161.7961</v>
      </c>
      <c r="G64" s="288">
        <v>-4.4590695206903098E-5</v>
      </c>
      <c r="H64" s="288">
        <v>-2.64333448010579E-4</v>
      </c>
    </row>
    <row r="65" spans="1:8" ht="15" customHeight="1" x14ac:dyDescent="0.25">
      <c r="A65" s="223">
        <v>45765</v>
      </c>
      <c r="B65" s="265">
        <v>132.3263</v>
      </c>
      <c r="C65" s="265">
        <v>150.46170000000001</v>
      </c>
      <c r="D65" s="265">
        <v>95.442599999999999</v>
      </c>
      <c r="E65" s="265">
        <v>175.5341</v>
      </c>
      <c r="F65" s="265">
        <v>161.6891</v>
      </c>
      <c r="G65" s="290">
        <v>1.3302224267963699E-4</v>
      </c>
      <c r="H65" s="289">
        <v>-4.3779346777594901E-4</v>
      </c>
    </row>
    <row r="66" spans="1:8" ht="15" customHeight="1" x14ac:dyDescent="0.25">
      <c r="A66" s="227">
        <v>45768</v>
      </c>
      <c r="B66" s="271">
        <v>131.6943</v>
      </c>
      <c r="C66" s="271">
        <v>151.59989999999999</v>
      </c>
      <c r="D66" s="271">
        <v>95.461799999999997</v>
      </c>
      <c r="E66" s="271">
        <v>176.49850000000001</v>
      </c>
      <c r="F66" s="271">
        <v>163.2406</v>
      </c>
      <c r="G66" s="288">
        <v>-4.7760724814341904E-3</v>
      </c>
      <c r="H66" s="287">
        <v>7.5647158047529297E-3</v>
      </c>
    </row>
    <row r="67" spans="1:8" ht="15" customHeight="1" x14ac:dyDescent="0.25">
      <c r="A67" s="223">
        <v>45769</v>
      </c>
      <c r="B67" s="265">
        <v>131.87379999999999</v>
      </c>
      <c r="C67" s="265">
        <v>151.17359999999999</v>
      </c>
      <c r="D67" s="265">
        <v>95.481200000000001</v>
      </c>
      <c r="E67" s="265">
        <v>176.43170000000001</v>
      </c>
      <c r="F67" s="265">
        <v>162.70670000000001</v>
      </c>
      <c r="G67" s="290">
        <v>1.36300508070586E-3</v>
      </c>
      <c r="H67" s="289">
        <v>-2.8120071319308599E-3</v>
      </c>
    </row>
    <row r="68" spans="1:8" ht="15" customHeight="1" x14ac:dyDescent="0.25">
      <c r="A68" s="227">
        <v>45770</v>
      </c>
      <c r="B68" s="271">
        <v>132.20150000000001</v>
      </c>
      <c r="C68" s="271">
        <v>150.64359999999999</v>
      </c>
      <c r="D68" s="271">
        <v>95.680300000000003</v>
      </c>
      <c r="E68" s="271">
        <v>175.99889999999999</v>
      </c>
      <c r="F68" s="271">
        <v>160.7998</v>
      </c>
      <c r="G68" s="287">
        <v>2.4849515218339198E-3</v>
      </c>
      <c r="H68" s="288">
        <v>-3.5059031471103E-3</v>
      </c>
    </row>
    <row r="69" spans="1:8" ht="15" customHeight="1" x14ac:dyDescent="0.25">
      <c r="A69" s="223">
        <v>45771</v>
      </c>
      <c r="B69" s="265">
        <v>132.34190000000001</v>
      </c>
      <c r="C69" s="265">
        <v>150.4992</v>
      </c>
      <c r="D69" s="265">
        <v>95.550299999999993</v>
      </c>
      <c r="E69" s="265">
        <v>175.81129999999999</v>
      </c>
      <c r="F69" s="265">
        <v>160.04589999999999</v>
      </c>
      <c r="G69" s="290">
        <v>1.0620151813709501E-3</v>
      </c>
      <c r="H69" s="289">
        <v>-9.58553831692743E-4</v>
      </c>
    </row>
    <row r="70" spans="1:8" ht="15" customHeight="1" x14ac:dyDescent="0.25">
      <c r="A70" s="227">
        <v>45772</v>
      </c>
      <c r="B70" s="271">
        <v>132.40639999999999</v>
      </c>
      <c r="C70" s="271">
        <v>150.41370000000001</v>
      </c>
      <c r="D70" s="271">
        <v>95.403999999999996</v>
      </c>
      <c r="E70" s="271">
        <v>176.11920000000001</v>
      </c>
      <c r="F70" s="271">
        <v>159.3914</v>
      </c>
      <c r="G70" s="287">
        <v>4.8737399115461599E-4</v>
      </c>
      <c r="H70" s="288">
        <v>-5.6810933214257496E-4</v>
      </c>
    </row>
    <row r="71" spans="1:8" ht="15" customHeight="1" x14ac:dyDescent="0.25">
      <c r="A71" s="223">
        <v>45775</v>
      </c>
      <c r="B71" s="265">
        <v>132.41220000000001</v>
      </c>
      <c r="C71" s="265">
        <v>150.42689999999999</v>
      </c>
      <c r="D71" s="265">
        <v>95.449399999999997</v>
      </c>
      <c r="E71" s="265">
        <v>176.22069999999999</v>
      </c>
      <c r="F71" s="265">
        <v>159.45599999999999</v>
      </c>
      <c r="G71" s="290">
        <v>4.38045290864775E-5</v>
      </c>
      <c r="H71" s="290">
        <v>8.7757963536550006E-5</v>
      </c>
    </row>
    <row r="72" spans="1:8" ht="15" customHeight="1" x14ac:dyDescent="0.25">
      <c r="A72" s="227">
        <v>45776</v>
      </c>
      <c r="B72" s="271">
        <v>132.18979999999999</v>
      </c>
      <c r="C72" s="271">
        <v>150.73609999999999</v>
      </c>
      <c r="D72" s="271">
        <v>95.637299999999996</v>
      </c>
      <c r="E72" s="271">
        <v>177.3408</v>
      </c>
      <c r="F72" s="271">
        <v>160.59020000000001</v>
      </c>
      <c r="G72" s="288">
        <v>-1.6796035410635601E-3</v>
      </c>
      <c r="H72" s="287">
        <v>2.0554834274986201E-3</v>
      </c>
    </row>
    <row r="73" spans="1:8" ht="15" customHeight="1" x14ac:dyDescent="0.25">
      <c r="A73" s="223">
        <v>45777</v>
      </c>
      <c r="B73" s="265">
        <v>132.29519999999999</v>
      </c>
      <c r="C73" s="265">
        <v>150.50569999999999</v>
      </c>
      <c r="D73" s="265">
        <v>95.626999999999995</v>
      </c>
      <c r="E73" s="265">
        <v>177.06649999999999</v>
      </c>
      <c r="F73" s="265">
        <v>160.33840000000001</v>
      </c>
      <c r="G73" s="290">
        <v>7.9733837255213701E-4</v>
      </c>
      <c r="H73" s="289">
        <v>-1.5284991451948199E-3</v>
      </c>
    </row>
    <row r="74" spans="1:8" ht="15" customHeight="1" x14ac:dyDescent="0.25">
      <c r="A74" s="227">
        <v>45778</v>
      </c>
      <c r="B74" s="271">
        <v>132.56440000000001</v>
      </c>
      <c r="C74" s="271">
        <v>150.1292</v>
      </c>
      <c r="D74" s="271">
        <v>95.981200000000001</v>
      </c>
      <c r="E74" s="271">
        <v>176.529</v>
      </c>
      <c r="F74" s="271">
        <v>160.4314</v>
      </c>
      <c r="G74" s="287">
        <v>2.0348432898549301E-3</v>
      </c>
      <c r="H74" s="288">
        <v>-2.50156638585775E-3</v>
      </c>
    </row>
    <row r="75" spans="1:8" ht="15" customHeight="1" x14ac:dyDescent="0.25">
      <c r="A75" s="223">
        <v>45779</v>
      </c>
      <c r="B75" s="265">
        <v>132.6053</v>
      </c>
      <c r="C75" s="265">
        <v>150.0761</v>
      </c>
      <c r="D75" s="265">
        <v>95.906700000000001</v>
      </c>
      <c r="E75" s="265">
        <v>176.19630000000001</v>
      </c>
      <c r="F75" s="265">
        <v>160.22880000000001</v>
      </c>
      <c r="G75" s="290">
        <v>3.0852928840618998E-4</v>
      </c>
      <c r="H75" s="289">
        <v>-3.53695350404859E-4</v>
      </c>
    </row>
    <row r="76" spans="1:8" ht="15" customHeight="1" x14ac:dyDescent="0.25">
      <c r="A76" s="227">
        <v>45782</v>
      </c>
      <c r="B76" s="271">
        <v>132.6053</v>
      </c>
      <c r="C76" s="271">
        <v>150.0429</v>
      </c>
      <c r="D76" s="271">
        <v>95.983000000000004</v>
      </c>
      <c r="E76" s="271">
        <v>176.1378</v>
      </c>
      <c r="F76" s="271">
        <v>160.4323</v>
      </c>
      <c r="G76" s="229" t="s">
        <v>18</v>
      </c>
      <c r="H76" s="288">
        <v>-2.2122110049493899E-4</v>
      </c>
    </row>
    <row r="77" spans="1:8" ht="15" customHeight="1" x14ac:dyDescent="0.25">
      <c r="A77" s="223">
        <v>45783</v>
      </c>
      <c r="B77" s="265">
        <v>132.47069999999999</v>
      </c>
      <c r="C77" s="265">
        <v>150.21520000000001</v>
      </c>
      <c r="D77" s="265">
        <v>95.899500000000003</v>
      </c>
      <c r="E77" s="265">
        <v>176.54519999999999</v>
      </c>
      <c r="F77" s="265">
        <v>161.07820000000001</v>
      </c>
      <c r="G77" s="289">
        <v>-1.0150423851838001E-3</v>
      </c>
      <c r="H77" s="290">
        <v>1.1483382419294999E-3</v>
      </c>
    </row>
    <row r="78" spans="1:8" ht="15" customHeight="1" x14ac:dyDescent="0.25">
      <c r="A78" s="227">
        <v>45784</v>
      </c>
      <c r="B78" s="271">
        <v>132.38990000000001</v>
      </c>
      <c r="C78" s="271">
        <v>150.41480000000001</v>
      </c>
      <c r="D78" s="271">
        <v>96.035600000000002</v>
      </c>
      <c r="E78" s="271">
        <v>176.75559999999999</v>
      </c>
      <c r="F78" s="271">
        <v>160.34630000000001</v>
      </c>
      <c r="G78" s="288">
        <v>-6.0994619942356099E-4</v>
      </c>
      <c r="H78" s="287">
        <v>1.3287603385010499E-3</v>
      </c>
    </row>
    <row r="79" spans="1:8" ht="15" customHeight="1" x14ac:dyDescent="0.25">
      <c r="A79" s="223">
        <v>45785</v>
      </c>
      <c r="B79" s="265">
        <v>132.68729999999999</v>
      </c>
      <c r="C79" s="265">
        <v>149.8836</v>
      </c>
      <c r="D79" s="265">
        <v>95.682199999999995</v>
      </c>
      <c r="E79" s="265">
        <v>176.34039999999999</v>
      </c>
      <c r="F79" s="265">
        <v>160.37629999999999</v>
      </c>
      <c r="G79" s="290">
        <v>2.2463949289182098E-3</v>
      </c>
      <c r="H79" s="289">
        <v>-3.5315673723597101E-3</v>
      </c>
    </row>
    <row r="80" spans="1:8" ht="15" customHeight="1" x14ac:dyDescent="0.25">
      <c r="A80" s="227">
        <v>45786</v>
      </c>
      <c r="B80" s="271">
        <v>132.91540000000001</v>
      </c>
      <c r="C80" s="271">
        <v>149.5564</v>
      </c>
      <c r="D80" s="271">
        <v>95.519499999999994</v>
      </c>
      <c r="E80" s="271">
        <v>176.28039999999999</v>
      </c>
      <c r="F80" s="271">
        <v>160.03299999999999</v>
      </c>
      <c r="G80" s="287">
        <v>1.71907936931426E-3</v>
      </c>
      <c r="H80" s="288">
        <v>-2.1830273625666999E-3</v>
      </c>
    </row>
    <row r="81" spans="1:8" ht="15" customHeight="1" x14ac:dyDescent="0.25">
      <c r="A81" s="223">
        <v>45789</v>
      </c>
      <c r="B81" s="265">
        <v>133.64109999999999</v>
      </c>
      <c r="C81" s="265">
        <v>148.39510000000001</v>
      </c>
      <c r="D81" s="265">
        <v>95.645799999999994</v>
      </c>
      <c r="E81" s="265">
        <v>175.93620000000001</v>
      </c>
      <c r="F81" s="265">
        <v>158.1645</v>
      </c>
      <c r="G81" s="290">
        <v>5.45986394353082E-3</v>
      </c>
      <c r="H81" s="289">
        <v>-7.76496358564383E-3</v>
      </c>
    </row>
    <row r="82" spans="1:8" ht="15" customHeight="1" x14ac:dyDescent="0.25">
      <c r="A82" s="227">
        <v>45790</v>
      </c>
      <c r="B82" s="271">
        <v>133.60599999999999</v>
      </c>
      <c r="C82" s="271">
        <v>148.50309999999999</v>
      </c>
      <c r="D82" s="271">
        <v>95.552300000000002</v>
      </c>
      <c r="E82" s="271">
        <v>176.57570000000001</v>
      </c>
      <c r="F82" s="271">
        <v>159.08320000000001</v>
      </c>
      <c r="G82" s="288">
        <v>-2.6264375255813399E-4</v>
      </c>
      <c r="H82" s="287">
        <v>7.2778683393171005E-4</v>
      </c>
    </row>
    <row r="83" spans="1:8" ht="15" customHeight="1" x14ac:dyDescent="0.25">
      <c r="A83" s="223">
        <v>45791</v>
      </c>
      <c r="B83" s="265">
        <v>132.97399999999999</v>
      </c>
      <c r="C83" s="265">
        <v>149.5359</v>
      </c>
      <c r="D83" s="265">
        <v>95.585700000000003</v>
      </c>
      <c r="E83" s="265">
        <v>177.59469999999999</v>
      </c>
      <c r="F83" s="265">
        <v>159.1455</v>
      </c>
      <c r="G83" s="289">
        <v>-4.7303264823436199E-3</v>
      </c>
      <c r="H83" s="290">
        <v>6.95473697182081E-3</v>
      </c>
    </row>
    <row r="84" spans="1:8" ht="15" customHeight="1" x14ac:dyDescent="0.25">
      <c r="A84" s="227">
        <v>45792</v>
      </c>
      <c r="B84" s="271">
        <v>133.15539999999999</v>
      </c>
      <c r="C84" s="271">
        <v>149.1807</v>
      </c>
      <c r="D84" s="271">
        <v>95.216499999999996</v>
      </c>
      <c r="E84" s="271">
        <v>176.77459999999999</v>
      </c>
      <c r="F84" s="271">
        <v>158.8398</v>
      </c>
      <c r="G84" s="287">
        <v>1.3641764555476501E-3</v>
      </c>
      <c r="H84" s="288">
        <v>-2.3753493308296099E-3</v>
      </c>
    </row>
    <row r="85" spans="1:8" ht="15" customHeight="1" x14ac:dyDescent="0.25">
      <c r="A85" s="223">
        <v>45793</v>
      </c>
      <c r="B85" s="265">
        <v>133.14949999999999</v>
      </c>
      <c r="C85" s="265">
        <v>149.17410000000001</v>
      </c>
      <c r="D85" s="265">
        <v>95.416899999999998</v>
      </c>
      <c r="E85" s="265">
        <v>177.20189999999999</v>
      </c>
      <c r="F85" s="265">
        <v>159.5274</v>
      </c>
      <c r="G85" s="289">
        <v>-4.4309130534658798E-5</v>
      </c>
      <c r="H85" s="289">
        <v>-4.42416478806385E-5</v>
      </c>
    </row>
    <row r="86" spans="1:8" ht="15" customHeight="1" x14ac:dyDescent="0.25">
      <c r="A86" s="227">
        <v>45796</v>
      </c>
      <c r="B86" s="271">
        <v>132.94489999999999</v>
      </c>
      <c r="C86" s="271">
        <v>149.2971</v>
      </c>
      <c r="D86" s="271">
        <v>95.304500000000004</v>
      </c>
      <c r="E86" s="271">
        <v>177.7457</v>
      </c>
      <c r="F86" s="271">
        <v>159.52109999999999</v>
      </c>
      <c r="G86" s="288">
        <v>-1.53661861291254E-3</v>
      </c>
      <c r="H86" s="287">
        <v>8.2453991678166404E-4</v>
      </c>
    </row>
    <row r="87" spans="1:8" ht="15" customHeight="1" x14ac:dyDescent="0.25">
      <c r="A87" s="223">
        <v>45797</v>
      </c>
      <c r="B87" s="265">
        <v>132.7227</v>
      </c>
      <c r="C87" s="265">
        <v>149.63159999999999</v>
      </c>
      <c r="D87" s="265">
        <v>95.227099999999993</v>
      </c>
      <c r="E87" s="265">
        <v>177.72190000000001</v>
      </c>
      <c r="F87" s="265">
        <v>159.67609999999999</v>
      </c>
      <c r="G87" s="289">
        <v>-1.67136911607735E-3</v>
      </c>
      <c r="H87" s="290">
        <v>2.24049897821188E-3</v>
      </c>
    </row>
    <row r="88" spans="1:8" ht="15" customHeight="1" x14ac:dyDescent="0.25">
      <c r="A88" s="227">
        <v>45798</v>
      </c>
      <c r="B88" s="271">
        <v>132.48339999999999</v>
      </c>
      <c r="C88" s="271">
        <v>149.78579999999999</v>
      </c>
      <c r="D88" s="271">
        <v>95.411299999999997</v>
      </c>
      <c r="E88" s="271">
        <v>177.91370000000001</v>
      </c>
      <c r="F88" s="271">
        <v>160.81010000000001</v>
      </c>
      <c r="G88" s="288">
        <v>-1.8030073227866001E-3</v>
      </c>
      <c r="H88" s="287">
        <v>1.0305309840970001E-3</v>
      </c>
    </row>
    <row r="89" spans="1:8" ht="15" customHeight="1" x14ac:dyDescent="0.25">
      <c r="A89" s="223">
        <v>45799</v>
      </c>
      <c r="B89" s="265">
        <v>132.3785</v>
      </c>
      <c r="C89" s="265">
        <v>149.70689999999999</v>
      </c>
      <c r="D89" s="265">
        <v>95.514700000000005</v>
      </c>
      <c r="E89" s="265">
        <v>177.7012</v>
      </c>
      <c r="F89" s="265">
        <v>160.4102</v>
      </c>
      <c r="G89" s="289">
        <v>-7.9179731196499204E-4</v>
      </c>
      <c r="H89" s="289">
        <v>-5.2675220214470897E-4</v>
      </c>
    </row>
    <row r="90" spans="1:8" ht="15" customHeight="1" x14ac:dyDescent="0.25">
      <c r="A90" s="227">
        <v>45800</v>
      </c>
      <c r="B90" s="271">
        <v>132.3201</v>
      </c>
      <c r="C90" s="271">
        <v>149.7731</v>
      </c>
      <c r="D90" s="271">
        <v>95.783500000000004</v>
      </c>
      <c r="E90" s="271">
        <v>178.42519999999999</v>
      </c>
      <c r="F90" s="271">
        <v>160.1551</v>
      </c>
      <c r="G90" s="288">
        <v>-4.4115925169119203E-4</v>
      </c>
      <c r="H90" s="287">
        <v>4.4219738702766498E-4</v>
      </c>
    </row>
    <row r="91" spans="1:8" ht="15" customHeight="1" x14ac:dyDescent="0.25">
      <c r="A91" s="223">
        <v>45803</v>
      </c>
      <c r="B91" s="265">
        <v>132.05189999999999</v>
      </c>
      <c r="C91" s="265">
        <v>149.93170000000001</v>
      </c>
      <c r="D91" s="265">
        <v>96.335499999999996</v>
      </c>
      <c r="E91" s="265">
        <v>179.18709999999999</v>
      </c>
      <c r="F91" s="265">
        <v>160.8526</v>
      </c>
      <c r="G91" s="289">
        <v>-2.0269029421834399E-3</v>
      </c>
      <c r="H91" s="290">
        <v>1.0589351492358301E-3</v>
      </c>
    </row>
    <row r="92" spans="1:8" ht="15" customHeight="1" x14ac:dyDescent="0.25">
      <c r="A92" s="227">
        <v>45804</v>
      </c>
      <c r="B92" s="271">
        <v>132.0872</v>
      </c>
      <c r="C92" s="271">
        <v>149.70099999999999</v>
      </c>
      <c r="D92" s="271">
        <v>96.06</v>
      </c>
      <c r="E92" s="271">
        <v>178.83459999999999</v>
      </c>
      <c r="F92" s="271">
        <v>160.41679999999999</v>
      </c>
      <c r="G92" s="287">
        <v>2.6731913739985697E-4</v>
      </c>
      <c r="H92" s="288">
        <v>-1.5387006216831501E-3</v>
      </c>
    </row>
    <row r="93" spans="1:8" ht="15" customHeight="1" x14ac:dyDescent="0.25">
      <c r="A93" s="223">
        <v>45805</v>
      </c>
      <c r="B93" s="265">
        <v>132.1456</v>
      </c>
      <c r="C93" s="265">
        <v>149.64830000000001</v>
      </c>
      <c r="D93" s="265">
        <v>95.626099999999994</v>
      </c>
      <c r="E93" s="265">
        <v>178.40639999999999</v>
      </c>
      <c r="F93" s="265">
        <v>159.97290000000001</v>
      </c>
      <c r="G93" s="290">
        <v>4.4213216723498798E-4</v>
      </c>
      <c r="H93" s="289">
        <v>-3.5203505654601798E-4</v>
      </c>
    </row>
    <row r="94" spans="1:8" ht="15" customHeight="1" x14ac:dyDescent="0.25">
      <c r="A94" s="227">
        <v>45806</v>
      </c>
      <c r="B94" s="271">
        <v>132.39070000000001</v>
      </c>
      <c r="C94" s="271">
        <v>149.2705</v>
      </c>
      <c r="D94" s="271">
        <v>95.758399999999995</v>
      </c>
      <c r="E94" s="271">
        <v>178.244</v>
      </c>
      <c r="F94" s="271">
        <v>159.47810000000001</v>
      </c>
      <c r="G94" s="287">
        <v>1.85477231175324E-3</v>
      </c>
      <c r="H94" s="288">
        <v>-2.5245859792594198E-3</v>
      </c>
    </row>
    <row r="95" spans="1:8" ht="15" customHeight="1" x14ac:dyDescent="0.25">
      <c r="A95" s="223">
        <v>45807</v>
      </c>
      <c r="B95" s="265">
        <v>132.10470000000001</v>
      </c>
      <c r="C95" s="265">
        <v>149.76050000000001</v>
      </c>
      <c r="D95" s="265">
        <v>95.599900000000005</v>
      </c>
      <c r="E95" s="265">
        <v>178.05070000000001</v>
      </c>
      <c r="F95" s="265">
        <v>160.2629</v>
      </c>
      <c r="G95" s="289">
        <v>-2.16027258712281E-3</v>
      </c>
      <c r="H95" s="290">
        <v>3.2826311963851701E-3</v>
      </c>
    </row>
    <row r="96" spans="1:8" ht="15" customHeight="1" x14ac:dyDescent="0.25">
      <c r="A96" s="227">
        <v>45810</v>
      </c>
      <c r="B96" s="271">
        <v>131.64920000000001</v>
      </c>
      <c r="C96" s="271">
        <v>149.8629</v>
      </c>
      <c r="D96" s="271">
        <v>96.231300000000005</v>
      </c>
      <c r="E96" s="271">
        <v>178.38650000000001</v>
      </c>
      <c r="F96" s="271">
        <v>160.7929</v>
      </c>
      <c r="G96" s="288">
        <v>-3.4480226668695E-3</v>
      </c>
      <c r="H96" s="287">
        <v>6.8375840091339202E-4</v>
      </c>
    </row>
    <row r="97" spans="1:8" ht="15" customHeight="1" x14ac:dyDescent="0.25">
      <c r="A97" s="223">
        <v>45811</v>
      </c>
      <c r="B97" s="265">
        <v>131.54300000000001</v>
      </c>
      <c r="C97" s="265">
        <v>149.87350000000001</v>
      </c>
      <c r="D97" s="265">
        <v>95.775599999999997</v>
      </c>
      <c r="E97" s="265">
        <v>177.9051</v>
      </c>
      <c r="F97" s="265">
        <v>160.8794</v>
      </c>
      <c r="G97" s="289">
        <v>-8.0668929245297804E-4</v>
      </c>
      <c r="H97" s="290">
        <v>7.0731315088723394E-5</v>
      </c>
    </row>
    <row r="98" spans="1:8" ht="15" customHeight="1" x14ac:dyDescent="0.25">
      <c r="A98" s="227">
        <v>45812</v>
      </c>
      <c r="B98" s="271">
        <v>131.61859999999999</v>
      </c>
      <c r="C98" s="271">
        <v>149.8083</v>
      </c>
      <c r="D98" s="271">
        <v>95.977400000000003</v>
      </c>
      <c r="E98" s="271">
        <v>178.16390000000001</v>
      </c>
      <c r="F98" s="271">
        <v>159.93510000000001</v>
      </c>
      <c r="G98" s="287">
        <v>5.74717012687742E-4</v>
      </c>
      <c r="H98" s="288">
        <v>-4.3503354495622E-4</v>
      </c>
    </row>
    <row r="99" spans="1:8" ht="15" customHeight="1" x14ac:dyDescent="0.25">
      <c r="A99" s="223">
        <v>45813</v>
      </c>
      <c r="B99" s="265">
        <v>131.53129999999999</v>
      </c>
      <c r="C99" s="265">
        <v>149.86680000000001</v>
      </c>
      <c r="D99" s="265">
        <v>96.236599999999996</v>
      </c>
      <c r="E99" s="265">
        <v>178.42009999999999</v>
      </c>
      <c r="F99" s="265">
        <v>160.43340000000001</v>
      </c>
      <c r="G99" s="289">
        <v>-6.6328011390481801E-4</v>
      </c>
      <c r="H99" s="290">
        <v>3.9049905779586802E-4</v>
      </c>
    </row>
    <row r="100" spans="1:8" ht="15" customHeight="1" x14ac:dyDescent="0.25">
      <c r="A100" s="227">
        <v>45817</v>
      </c>
      <c r="B100" s="271">
        <v>131.35239999999999</v>
      </c>
      <c r="C100" s="271">
        <v>149.76150000000001</v>
      </c>
      <c r="D100" s="271">
        <v>95.9863</v>
      </c>
      <c r="E100" s="271">
        <v>178.16540000000001</v>
      </c>
      <c r="F100" s="271">
        <v>160.2054</v>
      </c>
      <c r="G100" s="288">
        <v>-1.3601325311921599E-3</v>
      </c>
      <c r="H100" s="288">
        <v>-7.0262393004982804E-4</v>
      </c>
    </row>
    <row r="101" spans="1:8" ht="15" customHeight="1" x14ac:dyDescent="0.25">
      <c r="A101" s="223">
        <v>45818</v>
      </c>
      <c r="B101" s="265">
        <v>131.4803</v>
      </c>
      <c r="C101" s="265">
        <v>149.59829999999999</v>
      </c>
      <c r="D101" s="265">
        <v>95.806700000000006</v>
      </c>
      <c r="E101" s="265">
        <v>177.054</v>
      </c>
      <c r="F101" s="265">
        <v>159.86420000000001</v>
      </c>
      <c r="G101" s="290">
        <v>9.7371650613164995E-4</v>
      </c>
      <c r="H101" s="289">
        <v>-1.0897326749532701E-3</v>
      </c>
    </row>
    <row r="102" spans="1:8" ht="15" customHeight="1" x14ac:dyDescent="0.25">
      <c r="A102" s="227">
        <v>45819</v>
      </c>
      <c r="B102" s="271">
        <v>131.3407</v>
      </c>
      <c r="C102" s="271">
        <v>149.8991</v>
      </c>
      <c r="D102" s="271">
        <v>96.012799999999999</v>
      </c>
      <c r="E102" s="271">
        <v>176.99709999999999</v>
      </c>
      <c r="F102" s="271">
        <v>159.55869999999999</v>
      </c>
      <c r="G102" s="288">
        <v>-1.0617560197231401E-3</v>
      </c>
      <c r="H102" s="287">
        <v>2.01071803623454E-3</v>
      </c>
    </row>
    <row r="103" spans="1:8" ht="15" customHeight="1" x14ac:dyDescent="0.25">
      <c r="A103" s="223">
        <v>45820</v>
      </c>
      <c r="B103" s="265">
        <v>130.5127</v>
      </c>
      <c r="C103" s="265">
        <v>149.97219999999999</v>
      </c>
      <c r="D103" s="265">
        <v>95.470299999999995</v>
      </c>
      <c r="E103" s="265">
        <v>176.655</v>
      </c>
      <c r="F103" s="265">
        <v>159.69739999999999</v>
      </c>
      <c r="G103" s="289">
        <v>-6.3042149158638603E-3</v>
      </c>
      <c r="H103" s="290">
        <v>4.87661366879388E-4</v>
      </c>
    </row>
    <row r="104" spans="1:8" ht="15" customHeight="1" x14ac:dyDescent="0.25">
      <c r="A104" s="227">
        <v>45821</v>
      </c>
      <c r="B104" s="271">
        <v>129.98910000000001</v>
      </c>
      <c r="C104" s="271">
        <v>150.0855</v>
      </c>
      <c r="D104" s="271">
        <v>95.422399999999996</v>
      </c>
      <c r="E104" s="271">
        <v>176.29230000000001</v>
      </c>
      <c r="F104" s="271">
        <v>160.1541</v>
      </c>
      <c r="G104" s="288">
        <v>-4.0118701091923503E-3</v>
      </c>
      <c r="H104" s="287">
        <v>7.5547334772707597E-4</v>
      </c>
    </row>
    <row r="105" spans="1:8" ht="15" customHeight="1" x14ac:dyDescent="0.25">
      <c r="A105" s="223">
        <v>45824</v>
      </c>
      <c r="B105" s="265">
        <v>129.91390000000001</v>
      </c>
      <c r="C105" s="265">
        <v>150.25200000000001</v>
      </c>
      <c r="D105" s="265">
        <v>95.707899999999995</v>
      </c>
      <c r="E105" s="265">
        <v>176.56139999999999</v>
      </c>
      <c r="F105" s="265">
        <v>159.98269999999999</v>
      </c>
      <c r="G105" s="289">
        <v>-5.7851004430364795E-4</v>
      </c>
      <c r="H105" s="290">
        <v>1.10936766043368E-3</v>
      </c>
    </row>
    <row r="106" spans="1:8" ht="15" customHeight="1" x14ac:dyDescent="0.25">
      <c r="A106" s="227">
        <v>45825</v>
      </c>
      <c r="B106" s="271">
        <v>129.93119999999999</v>
      </c>
      <c r="C106" s="271">
        <v>150.20050000000001</v>
      </c>
      <c r="D106" s="271">
        <v>95.745400000000004</v>
      </c>
      <c r="E106" s="271">
        <v>176.32140000000001</v>
      </c>
      <c r="F106" s="271">
        <v>159.94489999999999</v>
      </c>
      <c r="G106" s="287">
        <v>1.3316511935967999E-4</v>
      </c>
      <c r="H106" s="288">
        <v>-3.4275750073209398E-4</v>
      </c>
    </row>
    <row r="107" spans="1:8" ht="15" customHeight="1" x14ac:dyDescent="0.25">
      <c r="A107" s="223">
        <v>45826</v>
      </c>
      <c r="B107" s="265">
        <v>130.15690000000001</v>
      </c>
      <c r="C107" s="265">
        <v>149.87569999999999</v>
      </c>
      <c r="D107" s="265">
        <v>95.248400000000004</v>
      </c>
      <c r="E107" s="265">
        <v>175.154</v>
      </c>
      <c r="F107" s="265">
        <v>159.34010000000001</v>
      </c>
      <c r="G107" s="290">
        <v>1.7370731587180699E-3</v>
      </c>
      <c r="H107" s="289">
        <v>-2.1624428680331298E-3</v>
      </c>
    </row>
    <row r="108" spans="1:8" ht="15" customHeight="1" x14ac:dyDescent="0.25">
      <c r="A108" s="227">
        <v>45827</v>
      </c>
      <c r="B108" s="271">
        <v>130.36510000000001</v>
      </c>
      <c r="C108" s="271">
        <v>149.54179999999999</v>
      </c>
      <c r="D108" s="271">
        <v>95.042599999999993</v>
      </c>
      <c r="E108" s="271">
        <v>174.85769999999999</v>
      </c>
      <c r="F108" s="271">
        <v>159.14680000000001</v>
      </c>
      <c r="G108" s="287">
        <v>1.5996078579008099E-3</v>
      </c>
      <c r="H108" s="288">
        <v>-2.2278461418362401E-3</v>
      </c>
    </row>
    <row r="109" spans="1:8" ht="15" customHeight="1" x14ac:dyDescent="0.25">
      <c r="A109" s="223">
        <v>45828</v>
      </c>
      <c r="B109" s="265">
        <v>130.20310000000001</v>
      </c>
      <c r="C109" s="265">
        <v>149.88990000000001</v>
      </c>
      <c r="D109" s="265">
        <v>95.007599999999996</v>
      </c>
      <c r="E109" s="265">
        <v>175.48769999999999</v>
      </c>
      <c r="F109" s="265">
        <v>159.49430000000001</v>
      </c>
      <c r="G109" s="289">
        <v>-1.24266387246286E-3</v>
      </c>
      <c r="H109" s="290">
        <v>2.3277772502405801E-3</v>
      </c>
    </row>
    <row r="110" spans="1:8" ht="15" customHeight="1" x14ac:dyDescent="0.25">
      <c r="A110" s="227">
        <v>45831</v>
      </c>
      <c r="B110" s="271">
        <v>130.31299999999999</v>
      </c>
      <c r="C110" s="271">
        <v>149.74270000000001</v>
      </c>
      <c r="D110" s="271">
        <v>94.676699999999997</v>
      </c>
      <c r="E110" s="271">
        <v>175.0813</v>
      </c>
      <c r="F110" s="271">
        <v>159.5702</v>
      </c>
      <c r="G110" s="287">
        <v>8.4406592469754604E-4</v>
      </c>
      <c r="H110" s="288">
        <v>-9.8205416108754196E-4</v>
      </c>
    </row>
    <row r="111" spans="1:8" ht="15" customHeight="1" x14ac:dyDescent="0.25">
      <c r="A111" s="223">
        <v>45832</v>
      </c>
      <c r="B111" s="265">
        <v>129.88499999999999</v>
      </c>
      <c r="C111" s="265">
        <v>150.5172</v>
      </c>
      <c r="D111" s="265">
        <v>94.6477</v>
      </c>
      <c r="E111" s="265">
        <v>176.4023</v>
      </c>
      <c r="F111" s="265">
        <v>159.94710000000001</v>
      </c>
      <c r="G111" s="289">
        <v>-3.2843998680100999E-3</v>
      </c>
      <c r="H111" s="290">
        <v>5.1722053896450203E-3</v>
      </c>
    </row>
    <row r="112" spans="1:8" ht="15" customHeight="1" x14ac:dyDescent="0.25">
      <c r="A112" s="227">
        <v>45833</v>
      </c>
      <c r="B112" s="271">
        <v>129.8271</v>
      </c>
      <c r="C112" s="271">
        <v>150.52799999999999</v>
      </c>
      <c r="D112" s="271">
        <v>94.560699999999997</v>
      </c>
      <c r="E112" s="271">
        <v>176.75579999999999</v>
      </c>
      <c r="F112" s="271">
        <v>161.20590000000001</v>
      </c>
      <c r="G112" s="288">
        <v>-4.4577895830921798E-4</v>
      </c>
      <c r="H112" s="287">
        <v>7.1752597045282598E-5</v>
      </c>
    </row>
    <row r="113" spans="1:8" ht="15" customHeight="1" x14ac:dyDescent="0.25">
      <c r="A113" s="223">
        <v>45834</v>
      </c>
      <c r="B113" s="265">
        <v>129.4881</v>
      </c>
      <c r="C113" s="265">
        <v>151.24860000000001</v>
      </c>
      <c r="D113" s="265">
        <v>94.551400000000001</v>
      </c>
      <c r="E113" s="265">
        <v>178.0395</v>
      </c>
      <c r="F113" s="265">
        <v>161.6985</v>
      </c>
      <c r="G113" s="289">
        <v>-2.6111651573516E-3</v>
      </c>
      <c r="H113" s="290">
        <v>4.7871492346940299E-3</v>
      </c>
    </row>
    <row r="114" spans="1:8" ht="15" customHeight="1" x14ac:dyDescent="0.25">
      <c r="A114" s="227">
        <v>45838</v>
      </c>
      <c r="B114" s="271">
        <v>129.37540000000001</v>
      </c>
      <c r="C114" s="271">
        <v>151.51159999999999</v>
      </c>
      <c r="D114" s="271">
        <v>94.603800000000007</v>
      </c>
      <c r="E114" s="271">
        <v>177.20230000000001</v>
      </c>
      <c r="F114" s="271">
        <v>161.86089999999999</v>
      </c>
      <c r="G114" s="288">
        <v>-8.7035024840109699E-4</v>
      </c>
      <c r="H114" s="287">
        <v>1.73885907043081E-3</v>
      </c>
    </row>
    <row r="115" spans="1:8" ht="15" customHeight="1" x14ac:dyDescent="0.25">
      <c r="A115" s="223">
        <v>45839</v>
      </c>
      <c r="B115" s="265">
        <v>129.34979999999999</v>
      </c>
      <c r="C115" s="265">
        <v>152.0249</v>
      </c>
      <c r="D115" s="265">
        <v>95.078699999999998</v>
      </c>
      <c r="E115" s="265">
        <v>177.99619999999999</v>
      </c>
      <c r="F115" s="265">
        <v>163.589</v>
      </c>
      <c r="G115" s="289">
        <v>-1.9787378435176501E-4</v>
      </c>
      <c r="H115" s="290">
        <v>3.3878594114247198E-3</v>
      </c>
    </row>
    <row r="116" spans="1:8" ht="15" customHeight="1" x14ac:dyDescent="0.25">
      <c r="A116" s="227">
        <v>45840</v>
      </c>
      <c r="B116" s="271">
        <v>129.3682</v>
      </c>
      <c r="C116" s="271">
        <v>152.33109999999999</v>
      </c>
      <c r="D116" s="271">
        <v>94.771799999999999</v>
      </c>
      <c r="E116" s="271">
        <v>177.28960000000001</v>
      </c>
      <c r="F116" s="271">
        <v>163.2098</v>
      </c>
      <c r="G116" s="287">
        <v>1.4224993003475499E-4</v>
      </c>
      <c r="H116" s="287">
        <v>2.01414373566422E-3</v>
      </c>
    </row>
    <row r="117" spans="1:8" ht="15" customHeight="1" x14ac:dyDescent="0.25">
      <c r="A117" s="223">
        <v>45841</v>
      </c>
      <c r="B117" s="265">
        <v>129.32759999999999</v>
      </c>
      <c r="C117" s="265">
        <v>152.4255</v>
      </c>
      <c r="D117" s="265">
        <v>95.181299999999993</v>
      </c>
      <c r="E117" s="265">
        <v>176.84620000000001</v>
      </c>
      <c r="F117" s="265">
        <v>163.49889999999999</v>
      </c>
      <c r="G117" s="289">
        <v>-3.13832920300405E-4</v>
      </c>
      <c r="H117" s="290">
        <v>6.1970273962441702E-4</v>
      </c>
    </row>
    <row r="118" spans="1:8" ht="15" customHeight="1" x14ac:dyDescent="0.25">
      <c r="A118" s="227">
        <v>45842</v>
      </c>
      <c r="B118" s="271">
        <v>129.41460000000001</v>
      </c>
      <c r="C118" s="271">
        <v>152.31460000000001</v>
      </c>
      <c r="D118" s="271">
        <v>95.196299999999994</v>
      </c>
      <c r="E118" s="271">
        <v>176.74760000000001</v>
      </c>
      <c r="F118" s="271">
        <v>162.9907</v>
      </c>
      <c r="G118" s="287">
        <v>6.7271023354664695E-4</v>
      </c>
      <c r="H118" s="288">
        <v>-7.2756854988165198E-4</v>
      </c>
    </row>
    <row r="119" spans="1:8" ht="15" customHeight="1" x14ac:dyDescent="0.25">
      <c r="A119" s="223">
        <v>45845</v>
      </c>
      <c r="B119" s="265">
        <v>129.548</v>
      </c>
      <c r="C119" s="265">
        <v>152.0959</v>
      </c>
      <c r="D119" s="265">
        <v>94.847899999999996</v>
      </c>
      <c r="E119" s="265">
        <v>176.3278</v>
      </c>
      <c r="F119" s="265">
        <v>162.76920000000001</v>
      </c>
      <c r="G119" s="290">
        <v>1.03079559802377E-3</v>
      </c>
      <c r="H119" s="289">
        <v>-1.43584397030894E-3</v>
      </c>
    </row>
    <row r="120" spans="1:8" ht="15" customHeight="1" x14ac:dyDescent="0.25">
      <c r="A120" s="227">
        <v>45846</v>
      </c>
      <c r="B120" s="271">
        <v>129.51900000000001</v>
      </c>
      <c r="C120" s="271">
        <v>152.22370000000001</v>
      </c>
      <c r="D120" s="271">
        <v>94.917000000000002</v>
      </c>
      <c r="E120" s="271">
        <v>176.4684</v>
      </c>
      <c r="F120" s="271">
        <v>162.6</v>
      </c>
      <c r="G120" s="288">
        <v>-2.2385525056345401E-4</v>
      </c>
      <c r="H120" s="287">
        <v>8.4025933637921202E-4</v>
      </c>
    </row>
    <row r="121" spans="1:8" ht="15" customHeight="1" x14ac:dyDescent="0.25">
      <c r="A121" s="223">
        <v>45847</v>
      </c>
      <c r="B121" s="265">
        <v>129.7046</v>
      </c>
      <c r="C121" s="265">
        <v>151.88409999999999</v>
      </c>
      <c r="D121" s="265">
        <v>94.796000000000006</v>
      </c>
      <c r="E121" s="265">
        <v>176.33690000000001</v>
      </c>
      <c r="F121" s="265">
        <v>162.6696</v>
      </c>
      <c r="G121" s="290">
        <v>1.43299438692379E-3</v>
      </c>
      <c r="H121" s="289">
        <v>-2.2309272472027502E-3</v>
      </c>
    </row>
    <row r="122" spans="1:8" ht="15" customHeight="1" x14ac:dyDescent="0.25">
      <c r="A122" s="227">
        <v>45848</v>
      </c>
      <c r="B122" s="271">
        <v>129.6234</v>
      </c>
      <c r="C122" s="271">
        <v>152.0548</v>
      </c>
      <c r="D122" s="271">
        <v>94.830200000000005</v>
      </c>
      <c r="E122" s="271">
        <v>176.33439999999999</v>
      </c>
      <c r="F122" s="271">
        <v>163.12020000000001</v>
      </c>
      <c r="G122" s="288">
        <v>-6.2603793543169995E-4</v>
      </c>
      <c r="H122" s="287">
        <v>1.1238832767881399E-3</v>
      </c>
    </row>
    <row r="123" spans="1:8" ht="15" customHeight="1" x14ac:dyDescent="0.25">
      <c r="A123" s="223">
        <v>45849</v>
      </c>
      <c r="B123" s="265">
        <v>129.79740000000001</v>
      </c>
      <c r="C123" s="265">
        <v>151.71369999999999</v>
      </c>
      <c r="D123" s="265">
        <v>94.787599999999998</v>
      </c>
      <c r="E123" s="265">
        <v>175.74629999999999</v>
      </c>
      <c r="F123" s="265">
        <v>162.87790000000001</v>
      </c>
      <c r="G123" s="290">
        <v>1.34235022380214E-3</v>
      </c>
      <c r="H123" s="289">
        <v>-2.24327018943182E-3</v>
      </c>
    </row>
    <row r="124" spans="1:8" ht="15" customHeight="1" x14ac:dyDescent="0.25">
      <c r="A124" s="227">
        <v>45852</v>
      </c>
      <c r="B124" s="271">
        <v>129.82640000000001</v>
      </c>
      <c r="C124" s="271">
        <v>151.70869999999999</v>
      </c>
      <c r="D124" s="271">
        <v>94.926699999999997</v>
      </c>
      <c r="E124" s="271">
        <v>175.0744</v>
      </c>
      <c r="F124" s="271">
        <v>162.83260000000001</v>
      </c>
      <c r="G124" s="287">
        <v>2.2342512253703501E-4</v>
      </c>
      <c r="H124" s="288">
        <v>-3.2956812733409002E-5</v>
      </c>
    </row>
    <row r="125" spans="1:8" ht="15" customHeight="1" x14ac:dyDescent="0.25">
      <c r="A125" s="223">
        <v>45853</v>
      </c>
      <c r="B125" s="265">
        <v>129.83789999999999</v>
      </c>
      <c r="C125" s="265">
        <v>151.7286</v>
      </c>
      <c r="D125" s="265">
        <v>94.841399999999993</v>
      </c>
      <c r="E125" s="265">
        <v>174.59549999999999</v>
      </c>
      <c r="F125" s="265">
        <v>163.20529999999999</v>
      </c>
      <c r="G125" s="290">
        <v>8.8579826599044495E-5</v>
      </c>
      <c r="H125" s="290">
        <v>1.31172437704663E-4</v>
      </c>
    </row>
    <row r="126" spans="1:8" ht="15" customHeight="1" x14ac:dyDescent="0.25">
      <c r="A126" s="227">
        <v>45854</v>
      </c>
      <c r="B126" s="271">
        <v>130.1396</v>
      </c>
      <c r="C126" s="271">
        <v>151.1832</v>
      </c>
      <c r="D126" s="271">
        <v>94.885099999999994</v>
      </c>
      <c r="E126" s="271">
        <v>174.2747</v>
      </c>
      <c r="F126" s="271">
        <v>162.40049999999999</v>
      </c>
      <c r="G126" s="287">
        <v>2.32366666435624E-3</v>
      </c>
      <c r="H126" s="288">
        <v>-3.5945761049663901E-3</v>
      </c>
    </row>
    <row r="127" spans="1:8" ht="15" customHeight="1" x14ac:dyDescent="0.25">
      <c r="A127" s="223">
        <v>45855</v>
      </c>
      <c r="B127" s="265">
        <v>130.25559999999999</v>
      </c>
      <c r="C127" s="265">
        <v>151.01840000000001</v>
      </c>
      <c r="D127" s="265">
        <v>94.769300000000001</v>
      </c>
      <c r="E127" s="265">
        <v>174.4067</v>
      </c>
      <c r="F127" s="265">
        <v>161.99940000000001</v>
      </c>
      <c r="G127" s="290">
        <v>8.9135051898114903E-4</v>
      </c>
      <c r="H127" s="289">
        <v>-1.0900682086368899E-3</v>
      </c>
    </row>
    <row r="128" spans="1:8" ht="15" customHeight="1" x14ac:dyDescent="0.25">
      <c r="A128" s="227">
        <v>45856</v>
      </c>
      <c r="B128" s="271">
        <v>130.07570000000001</v>
      </c>
      <c r="C128" s="271">
        <v>151.3887</v>
      </c>
      <c r="D128" s="271">
        <v>94.741799999999998</v>
      </c>
      <c r="E128" s="271">
        <v>174.8212</v>
      </c>
      <c r="F128" s="271">
        <v>162.19929999999999</v>
      </c>
      <c r="G128" s="288">
        <v>-1.3811306385289599E-3</v>
      </c>
      <c r="H128" s="287">
        <v>2.4520190917132201E-3</v>
      </c>
    </row>
    <row r="129" spans="1:8" ht="15" customHeight="1" x14ac:dyDescent="0.25">
      <c r="A129" s="223">
        <v>45859</v>
      </c>
      <c r="B129" s="265">
        <v>130.02940000000001</v>
      </c>
      <c r="C129" s="265">
        <v>151.4128</v>
      </c>
      <c r="D129" s="265">
        <v>94.728800000000007</v>
      </c>
      <c r="E129" s="265">
        <v>174.75899999999999</v>
      </c>
      <c r="F129" s="265">
        <v>162.34399999999999</v>
      </c>
      <c r="G129" s="289">
        <v>-3.5594657572479699E-4</v>
      </c>
      <c r="H129" s="290">
        <v>1.59192859176427E-4</v>
      </c>
    </row>
    <row r="130" spans="1:8" ht="15" customHeight="1" x14ac:dyDescent="0.25">
      <c r="A130" s="227">
        <v>45860</v>
      </c>
      <c r="B130" s="271">
        <v>129.82050000000001</v>
      </c>
      <c r="C130" s="271">
        <v>151.7732</v>
      </c>
      <c r="D130" s="271">
        <v>94.818399999999997</v>
      </c>
      <c r="E130" s="271">
        <v>174.91309999999999</v>
      </c>
      <c r="F130" s="271">
        <v>162.7945</v>
      </c>
      <c r="G130" s="288">
        <v>-1.6065597472572099E-3</v>
      </c>
      <c r="H130" s="287">
        <v>2.38024790506475E-3</v>
      </c>
    </row>
    <row r="131" spans="1:8" ht="15" customHeight="1" x14ac:dyDescent="0.25">
      <c r="A131" s="223">
        <v>45861</v>
      </c>
      <c r="B131" s="265">
        <v>129.67070000000001</v>
      </c>
      <c r="C131" s="265">
        <v>151.9222</v>
      </c>
      <c r="D131" s="265">
        <v>95.440899999999999</v>
      </c>
      <c r="E131" s="265">
        <v>175.5866</v>
      </c>
      <c r="F131" s="265">
        <v>163.7877</v>
      </c>
      <c r="G131" s="289">
        <v>-1.15390096325307E-3</v>
      </c>
      <c r="H131" s="290">
        <v>9.8172799940954292E-4</v>
      </c>
    </row>
    <row r="132" spans="1:8" ht="15" customHeight="1" x14ac:dyDescent="0.25">
      <c r="A132" s="227">
        <v>45862</v>
      </c>
      <c r="B132" s="271">
        <v>129.3998</v>
      </c>
      <c r="C132" s="271">
        <v>151.9607</v>
      </c>
      <c r="D132" s="271">
        <v>95.111999999999995</v>
      </c>
      <c r="E132" s="271">
        <v>175.505</v>
      </c>
      <c r="F132" s="271">
        <v>163.07480000000001</v>
      </c>
      <c r="G132" s="288">
        <v>-2.08913810135991E-3</v>
      </c>
      <c r="H132" s="287">
        <v>2.53419184293113E-4</v>
      </c>
    </row>
    <row r="133" spans="1:8" ht="15" customHeight="1" x14ac:dyDescent="0.25">
      <c r="A133" s="223">
        <v>45863</v>
      </c>
      <c r="B133" s="265">
        <v>129.4289</v>
      </c>
      <c r="C133" s="265">
        <v>152.02070000000001</v>
      </c>
      <c r="D133" s="265">
        <v>94.629099999999994</v>
      </c>
      <c r="E133" s="265">
        <v>174.2681</v>
      </c>
      <c r="F133" s="265">
        <v>162.5992</v>
      </c>
      <c r="G133" s="290">
        <v>2.248844279511E-4</v>
      </c>
      <c r="H133" s="290">
        <v>3.9483892874936399E-4</v>
      </c>
    </row>
    <row r="134" spans="1:8" ht="15" customHeight="1" x14ac:dyDescent="0.25">
      <c r="A134" s="227">
        <v>45866</v>
      </c>
      <c r="B134" s="271">
        <v>129.70689999999999</v>
      </c>
      <c r="C134" s="271">
        <v>151.49770000000001</v>
      </c>
      <c r="D134" s="271">
        <v>94.424999999999997</v>
      </c>
      <c r="E134" s="271">
        <v>174.03319999999999</v>
      </c>
      <c r="F134" s="271">
        <v>162.5197</v>
      </c>
      <c r="G134" s="287">
        <v>2.1478974170374698E-3</v>
      </c>
      <c r="H134" s="288">
        <v>-3.4403209562907698E-3</v>
      </c>
    </row>
    <row r="135" spans="1:8" ht="15" customHeight="1" x14ac:dyDescent="0.25">
      <c r="A135" s="223">
        <v>45867</v>
      </c>
      <c r="B135" s="265">
        <v>130.25139999999999</v>
      </c>
      <c r="C135" s="265">
        <v>150.49250000000001</v>
      </c>
      <c r="D135" s="265">
        <v>94.669799999999995</v>
      </c>
      <c r="E135" s="265">
        <v>173.6223</v>
      </c>
      <c r="F135" s="265">
        <v>161.59219999999999</v>
      </c>
      <c r="G135" s="290">
        <v>4.1979262475628802E-3</v>
      </c>
      <c r="H135" s="289">
        <v>-6.6350842290015003E-3</v>
      </c>
    </row>
    <row r="136" spans="1:8" ht="15" customHeight="1" x14ac:dyDescent="0.25">
      <c r="A136" s="227">
        <v>45868</v>
      </c>
      <c r="B136" s="271">
        <v>130.25729999999999</v>
      </c>
      <c r="C136" s="271">
        <v>150.49930000000001</v>
      </c>
      <c r="D136" s="271">
        <v>94.6053</v>
      </c>
      <c r="E136" s="271">
        <v>174.0361</v>
      </c>
      <c r="F136" s="271">
        <v>161.85059999999999</v>
      </c>
      <c r="G136" s="287">
        <v>4.52970179207757E-5</v>
      </c>
      <c r="H136" s="287">
        <v>4.51849759954826E-5</v>
      </c>
    </row>
    <row r="137" spans="1:8" ht="15" customHeight="1" x14ac:dyDescent="0.25">
      <c r="A137" s="223">
        <v>45869</v>
      </c>
      <c r="B137" s="265">
        <v>130.7381</v>
      </c>
      <c r="C137" s="265">
        <v>149.6559</v>
      </c>
      <c r="D137" s="265">
        <v>94.453800000000001</v>
      </c>
      <c r="E137" s="265">
        <v>173.27780000000001</v>
      </c>
      <c r="F137" s="265">
        <v>160.8887</v>
      </c>
      <c r="G137" s="290">
        <v>3.6911558891519198E-3</v>
      </c>
      <c r="H137" s="289">
        <v>-5.6040127761392E-3</v>
      </c>
    </row>
    <row r="138" spans="1:8" ht="15" customHeight="1" x14ac:dyDescent="0.25">
      <c r="A138" s="227">
        <v>45870</v>
      </c>
      <c r="B138" s="271">
        <v>130.9408</v>
      </c>
      <c r="C138" s="271">
        <v>149.4624</v>
      </c>
      <c r="D138" s="271">
        <v>94.382000000000005</v>
      </c>
      <c r="E138" s="271">
        <v>172.58580000000001</v>
      </c>
      <c r="F138" s="271">
        <v>160.5061</v>
      </c>
      <c r="G138" s="287">
        <v>1.55042791657523E-3</v>
      </c>
      <c r="H138" s="288">
        <v>-1.29296606415119E-3</v>
      </c>
    </row>
    <row r="139" spans="1:8" ht="15" customHeight="1" x14ac:dyDescent="0.25">
      <c r="A139" s="223">
        <v>45873</v>
      </c>
      <c r="B139" s="265">
        <v>130.292</v>
      </c>
      <c r="C139" s="265">
        <v>150.58500000000001</v>
      </c>
      <c r="D139" s="265">
        <v>94.517300000000006</v>
      </c>
      <c r="E139" s="265">
        <v>172.9272</v>
      </c>
      <c r="F139" s="265">
        <v>161.09299999999999</v>
      </c>
      <c r="G139" s="289">
        <v>-4.9549109215767401E-3</v>
      </c>
      <c r="H139" s="290">
        <v>7.5109191341769001E-3</v>
      </c>
    </row>
    <row r="140" spans="1:8" ht="15" customHeight="1" x14ac:dyDescent="0.25">
      <c r="A140" s="227">
        <v>45874</v>
      </c>
      <c r="B140" s="271">
        <v>130.2978</v>
      </c>
      <c r="C140" s="271">
        <v>150.43539999999999</v>
      </c>
      <c r="D140" s="271">
        <v>94.490600000000001</v>
      </c>
      <c r="E140" s="271">
        <v>172.90049999999999</v>
      </c>
      <c r="F140" s="271">
        <v>161.00069999999999</v>
      </c>
      <c r="G140" s="287">
        <v>4.4515396186994903E-5</v>
      </c>
      <c r="H140" s="288">
        <v>-9.9345884384249893E-4</v>
      </c>
    </row>
    <row r="141" spans="1:8" ht="15" customHeight="1" x14ac:dyDescent="0.25">
      <c r="A141" s="223">
        <v>45875</v>
      </c>
      <c r="B141" s="265">
        <v>130.15870000000001</v>
      </c>
      <c r="C141" s="265">
        <v>150.71080000000001</v>
      </c>
      <c r="D141" s="265">
        <v>94.554299999999998</v>
      </c>
      <c r="E141" s="265">
        <v>173.08340000000001</v>
      </c>
      <c r="F141" s="265">
        <v>161.12739999999999</v>
      </c>
      <c r="G141" s="289">
        <v>-1.0675544790471601E-3</v>
      </c>
      <c r="H141" s="290">
        <v>1.8306861283981001E-3</v>
      </c>
    </row>
    <row r="142" spans="1:8" ht="15" customHeight="1" x14ac:dyDescent="0.25">
      <c r="A142" s="227">
        <v>45876</v>
      </c>
      <c r="B142" s="271">
        <v>129.74170000000001</v>
      </c>
      <c r="C142" s="271">
        <v>151.4864</v>
      </c>
      <c r="D142" s="271">
        <v>94.525999999999996</v>
      </c>
      <c r="E142" s="271">
        <v>173.55590000000001</v>
      </c>
      <c r="F142" s="271">
        <v>161.19990000000001</v>
      </c>
      <c r="G142" s="288">
        <v>-3.2037812301444202E-3</v>
      </c>
      <c r="H142" s="287">
        <v>5.1462801604131901E-3</v>
      </c>
    </row>
    <row r="143" spans="1:8" ht="15" customHeight="1" x14ac:dyDescent="0.25">
      <c r="A143" s="223">
        <v>45877</v>
      </c>
      <c r="B143" s="265">
        <v>129.7996</v>
      </c>
      <c r="C143" s="265">
        <v>151.32040000000001</v>
      </c>
      <c r="D143" s="265">
        <v>94.506299999999996</v>
      </c>
      <c r="E143" s="265">
        <v>174.4736</v>
      </c>
      <c r="F143" s="265">
        <v>160.8023</v>
      </c>
      <c r="G143" s="290">
        <v>4.4627132217311998E-4</v>
      </c>
      <c r="H143" s="289">
        <v>-1.0958079405147801E-3</v>
      </c>
    </row>
    <row r="144" spans="1:8" ht="15" customHeight="1" x14ac:dyDescent="0.25">
      <c r="A144" s="227">
        <v>45880</v>
      </c>
      <c r="B144" s="271">
        <v>129.8228</v>
      </c>
      <c r="C144" s="271">
        <v>151.27600000000001</v>
      </c>
      <c r="D144" s="271">
        <v>94.296599999999998</v>
      </c>
      <c r="E144" s="271">
        <v>174.71619999999999</v>
      </c>
      <c r="F144" s="271">
        <v>160.6619</v>
      </c>
      <c r="G144" s="287">
        <v>1.7873706852711299E-4</v>
      </c>
      <c r="H144" s="288">
        <v>-2.9341714666364398E-4</v>
      </c>
    </row>
    <row r="145" spans="1:8" ht="15" customHeight="1" x14ac:dyDescent="0.25">
      <c r="A145" s="223">
        <v>45881</v>
      </c>
      <c r="B145" s="265">
        <v>129.9734</v>
      </c>
      <c r="C145" s="265">
        <v>150.9966</v>
      </c>
      <c r="D145" s="265">
        <v>94.323800000000006</v>
      </c>
      <c r="E145" s="265">
        <v>174.8835</v>
      </c>
      <c r="F145" s="265">
        <v>160.46100000000001</v>
      </c>
      <c r="G145" s="290">
        <v>1.16004276598569E-3</v>
      </c>
      <c r="H145" s="289">
        <v>-1.84695523414158E-3</v>
      </c>
    </row>
    <row r="146" spans="1:8" ht="15" customHeight="1" x14ac:dyDescent="0.25">
      <c r="A146" s="227">
        <v>45882</v>
      </c>
      <c r="B146" s="271">
        <v>129.59100000000001</v>
      </c>
      <c r="C146" s="271">
        <v>151.7252</v>
      </c>
      <c r="D146" s="271">
        <v>94.169300000000007</v>
      </c>
      <c r="E146" s="271">
        <v>175.55</v>
      </c>
      <c r="F146" s="271">
        <v>161.24299999999999</v>
      </c>
      <c r="G146" s="288">
        <v>-2.9421404687419699E-3</v>
      </c>
      <c r="H146" s="287">
        <v>4.8252742114722798E-3</v>
      </c>
    </row>
    <row r="147" spans="1:8" ht="15" customHeight="1" x14ac:dyDescent="0.25">
      <c r="A147" s="223">
        <v>45883</v>
      </c>
      <c r="B147" s="265">
        <v>129.7011</v>
      </c>
      <c r="C147" s="265">
        <v>151.50389999999999</v>
      </c>
      <c r="D147" s="265">
        <v>94.146600000000007</v>
      </c>
      <c r="E147" s="265">
        <v>175.99719999999999</v>
      </c>
      <c r="F147" s="265">
        <v>160.87960000000001</v>
      </c>
      <c r="G147" s="290">
        <v>8.4959603676182404E-4</v>
      </c>
      <c r="H147" s="289">
        <v>-1.4585579719125199E-3</v>
      </c>
    </row>
    <row r="148" spans="1:8" ht="15" customHeight="1" x14ac:dyDescent="0.25">
      <c r="A148" s="227">
        <v>45884</v>
      </c>
      <c r="B148" s="271">
        <v>129.68369999999999</v>
      </c>
      <c r="C148" s="271">
        <v>151.4965</v>
      </c>
      <c r="D148" s="271">
        <v>94.011200000000002</v>
      </c>
      <c r="E148" s="271">
        <v>175.7946</v>
      </c>
      <c r="F148" s="271">
        <v>160.98779999999999</v>
      </c>
      <c r="G148" s="288">
        <v>-1.3415460624477399E-4</v>
      </c>
      <c r="H148" s="288">
        <v>-4.8843627127648199E-5</v>
      </c>
    </row>
    <row r="149" spans="1:8" ht="15" customHeight="1" x14ac:dyDescent="0.25">
      <c r="A149" s="223">
        <v>45887</v>
      </c>
      <c r="B149" s="265">
        <v>129.73589999999999</v>
      </c>
      <c r="C149" s="265">
        <v>151.43430000000001</v>
      </c>
      <c r="D149" s="265">
        <v>93.991100000000003</v>
      </c>
      <c r="E149" s="265">
        <v>175.6036</v>
      </c>
      <c r="F149" s="265">
        <v>160.6139</v>
      </c>
      <c r="G149" s="290">
        <v>4.02517818353321E-4</v>
      </c>
      <c r="H149" s="289">
        <v>-4.1057054123361302E-4</v>
      </c>
    </row>
    <row r="150" spans="1:8" ht="15" customHeight="1" x14ac:dyDescent="0.25">
      <c r="A150" s="227">
        <v>45888</v>
      </c>
      <c r="B150" s="271">
        <v>129.71270000000001</v>
      </c>
      <c r="C150" s="271">
        <v>151.49799999999999</v>
      </c>
      <c r="D150" s="271">
        <v>93.8553</v>
      </c>
      <c r="E150" s="271">
        <v>175.32300000000001</v>
      </c>
      <c r="F150" s="271">
        <v>160.91390000000001</v>
      </c>
      <c r="G150" s="288">
        <v>-1.7882482797726399E-4</v>
      </c>
      <c r="H150" s="287">
        <v>4.20644464298903E-4</v>
      </c>
    </row>
    <row r="151" spans="1:8" ht="15" customHeight="1" x14ac:dyDescent="0.25">
      <c r="A151" s="223">
        <v>45889</v>
      </c>
      <c r="B151" s="265">
        <v>129.85749999999999</v>
      </c>
      <c r="C151" s="265">
        <v>151.2191</v>
      </c>
      <c r="D151" s="265">
        <v>93.594399999999993</v>
      </c>
      <c r="E151" s="265">
        <v>175.2818</v>
      </c>
      <c r="F151" s="265">
        <v>160.6849</v>
      </c>
      <c r="G151" s="290">
        <v>1.1163132060312299E-3</v>
      </c>
      <c r="H151" s="289">
        <v>-1.8409483953583099E-3</v>
      </c>
    </row>
    <row r="152" spans="1:8" ht="15" customHeight="1" x14ac:dyDescent="0.25">
      <c r="A152" s="227">
        <v>45890</v>
      </c>
      <c r="B152" s="271">
        <v>129.85169999999999</v>
      </c>
      <c r="C152" s="271">
        <v>151.2773</v>
      </c>
      <c r="D152" s="271">
        <v>93.543000000000006</v>
      </c>
      <c r="E152" s="271">
        <v>174.6962</v>
      </c>
      <c r="F152" s="271">
        <v>161.24639999999999</v>
      </c>
      <c r="G152" s="288">
        <v>-4.4664343607392401E-5</v>
      </c>
      <c r="H152" s="287">
        <v>3.8487201682846399E-4</v>
      </c>
    </row>
    <row r="153" spans="1:8" ht="15" customHeight="1" x14ac:dyDescent="0.25">
      <c r="A153" s="223">
        <v>45891</v>
      </c>
      <c r="B153" s="265">
        <v>130.1182</v>
      </c>
      <c r="C153" s="265">
        <v>150.846</v>
      </c>
      <c r="D153" s="265">
        <v>93.519400000000005</v>
      </c>
      <c r="E153" s="265">
        <v>174.4563</v>
      </c>
      <c r="F153" s="265">
        <v>160.69929999999999</v>
      </c>
      <c r="G153" s="290">
        <v>2.0523412477464502E-3</v>
      </c>
      <c r="H153" s="289">
        <v>-2.8510556441713199E-3</v>
      </c>
    </row>
    <row r="154" spans="1:8" ht="15" customHeight="1" x14ac:dyDescent="0.25">
      <c r="A154" s="227">
        <v>45894</v>
      </c>
      <c r="B154" s="271">
        <v>129.6431</v>
      </c>
      <c r="C154" s="271">
        <v>151.65649999999999</v>
      </c>
      <c r="D154" s="271">
        <v>93.699799999999996</v>
      </c>
      <c r="E154" s="271">
        <v>175.0633</v>
      </c>
      <c r="F154" s="271">
        <v>161.54910000000001</v>
      </c>
      <c r="G154" s="288">
        <v>-3.6512955143861402E-3</v>
      </c>
      <c r="H154" s="287">
        <v>5.3730294472507101E-3</v>
      </c>
    </row>
    <row r="155" spans="1:8" ht="15" customHeight="1" x14ac:dyDescent="0.25">
      <c r="A155" s="223">
        <v>45895</v>
      </c>
      <c r="B155" s="265">
        <v>129.96180000000001</v>
      </c>
      <c r="C155" s="265">
        <v>150.98310000000001</v>
      </c>
      <c r="D155" s="265">
        <v>93.791300000000007</v>
      </c>
      <c r="E155" s="265">
        <v>174.84440000000001</v>
      </c>
      <c r="F155" s="265">
        <v>161.18299999999999</v>
      </c>
      <c r="G155" s="290">
        <v>2.4582874059630999E-3</v>
      </c>
      <c r="H155" s="289">
        <v>-4.4402976463256997E-3</v>
      </c>
    </row>
    <row r="156" spans="1:8" ht="15" customHeight="1" x14ac:dyDescent="0.25">
      <c r="A156" s="227">
        <v>45896</v>
      </c>
      <c r="B156" s="271">
        <v>130.03710000000001</v>
      </c>
      <c r="C156" s="271">
        <v>150.86250000000001</v>
      </c>
      <c r="D156" s="271">
        <v>93.879400000000004</v>
      </c>
      <c r="E156" s="271">
        <v>174.86340000000001</v>
      </c>
      <c r="F156" s="271">
        <v>161.3364</v>
      </c>
      <c r="G156" s="287">
        <v>5.7940102399323102E-4</v>
      </c>
      <c r="H156" s="288">
        <v>-7.9876489487895597E-4</v>
      </c>
    </row>
    <row r="157" spans="1:8" ht="15" customHeight="1" x14ac:dyDescent="0.25">
      <c r="A157" s="223">
        <v>45897</v>
      </c>
      <c r="B157" s="265">
        <v>129.88059999999999</v>
      </c>
      <c r="C157" s="265">
        <v>151.16159999999999</v>
      </c>
      <c r="D157" s="265">
        <v>94.249600000000001</v>
      </c>
      <c r="E157" s="265">
        <v>175.2184</v>
      </c>
      <c r="F157" s="265">
        <v>162.00649999999999</v>
      </c>
      <c r="G157" s="289">
        <v>-1.2035026926932001E-3</v>
      </c>
      <c r="H157" s="290">
        <v>1.9826000497140698E-3</v>
      </c>
    </row>
    <row r="158" spans="1:8" ht="15" customHeight="1" x14ac:dyDescent="0.25">
      <c r="A158" s="227">
        <v>45898</v>
      </c>
      <c r="B158" s="271">
        <v>129.70689999999999</v>
      </c>
      <c r="C158" s="271">
        <v>151.44579999999999</v>
      </c>
      <c r="D158" s="271">
        <v>94.394099999999995</v>
      </c>
      <c r="E158" s="271">
        <v>175.01949999999999</v>
      </c>
      <c r="F158" s="271">
        <v>162.05260000000001</v>
      </c>
      <c r="G158" s="288">
        <v>-1.3373821802485899E-3</v>
      </c>
      <c r="H158" s="287">
        <v>1.8801071171514799E-3</v>
      </c>
    </row>
    <row r="159" spans="1:8" ht="15" customHeight="1" x14ac:dyDescent="0.25">
      <c r="A159" s="223">
        <v>45901</v>
      </c>
      <c r="B159" s="265">
        <v>129.54470000000001</v>
      </c>
      <c r="C159" s="265">
        <v>151.80699999999999</v>
      </c>
      <c r="D159" s="265">
        <v>94.210899999999995</v>
      </c>
      <c r="E159" s="265">
        <v>175.20249999999999</v>
      </c>
      <c r="F159" s="265">
        <v>162.0119</v>
      </c>
      <c r="G159" s="289">
        <v>-1.2505117306788099E-3</v>
      </c>
      <c r="H159" s="290">
        <v>2.3850116675403501E-3</v>
      </c>
    </row>
    <row r="160" spans="1:8" ht="15" customHeight="1" x14ac:dyDescent="0.25">
      <c r="A160" s="227">
        <v>45902</v>
      </c>
      <c r="B160" s="271">
        <v>129.85749999999999</v>
      </c>
      <c r="C160" s="271">
        <v>151.25800000000001</v>
      </c>
      <c r="D160" s="271">
        <v>94.253299999999996</v>
      </c>
      <c r="E160" s="271">
        <v>174.01339999999999</v>
      </c>
      <c r="F160" s="271">
        <v>161.5847</v>
      </c>
      <c r="G160" s="287">
        <v>2.4146105552753701E-3</v>
      </c>
      <c r="H160" s="288">
        <v>-3.6164340247812898E-3</v>
      </c>
    </row>
    <row r="161" spans="1:8" ht="15" customHeight="1" x14ac:dyDescent="0.25">
      <c r="A161" s="223">
        <v>45903</v>
      </c>
      <c r="B161" s="265">
        <v>129.9271</v>
      </c>
      <c r="C161" s="265">
        <v>151.16370000000001</v>
      </c>
      <c r="D161" s="265">
        <v>94.153499999999994</v>
      </c>
      <c r="E161" s="265">
        <v>173.6413</v>
      </c>
      <c r="F161" s="265">
        <v>161.35</v>
      </c>
      <c r="G161" s="290">
        <v>5.3597212328915201E-4</v>
      </c>
      <c r="H161" s="289">
        <v>-6.2343809914189297E-4</v>
      </c>
    </row>
    <row r="162" spans="1:8" ht="15" customHeight="1" x14ac:dyDescent="0.25">
      <c r="A162" s="227">
        <v>45904</v>
      </c>
      <c r="B162" s="271">
        <v>129.8459</v>
      </c>
      <c r="C162" s="271">
        <v>151.251</v>
      </c>
      <c r="D162" s="271">
        <v>93.999300000000005</v>
      </c>
      <c r="E162" s="271">
        <v>174.3015</v>
      </c>
      <c r="F162" s="271">
        <v>161.19919999999999</v>
      </c>
      <c r="G162" s="288">
        <v>-6.2496584623217299E-4</v>
      </c>
      <c r="H162" s="287">
        <v>5.7751960292051795E-4</v>
      </c>
    </row>
    <row r="163" spans="1:8" ht="15" customHeight="1" x14ac:dyDescent="0.25">
      <c r="A163" s="223">
        <v>45908</v>
      </c>
      <c r="B163" s="265">
        <v>129.49260000000001</v>
      </c>
      <c r="C163" s="265">
        <v>151.90780000000001</v>
      </c>
      <c r="D163" s="265">
        <v>93.723200000000006</v>
      </c>
      <c r="E163" s="265">
        <v>174.99</v>
      </c>
      <c r="F163" s="265">
        <v>162.68940000000001</v>
      </c>
      <c r="G163" s="289">
        <v>-2.7209176416043198E-3</v>
      </c>
      <c r="H163" s="290">
        <v>4.3424506284255298E-3</v>
      </c>
    </row>
    <row r="164" spans="1:8" ht="15" customHeight="1" x14ac:dyDescent="0.25">
      <c r="A164" s="227">
        <v>45909</v>
      </c>
      <c r="B164" s="271">
        <v>129.3998</v>
      </c>
      <c r="C164" s="271">
        <v>152.08359999999999</v>
      </c>
      <c r="D164" s="271">
        <v>93.717100000000002</v>
      </c>
      <c r="E164" s="271">
        <v>175.55260000000001</v>
      </c>
      <c r="F164" s="271">
        <v>163.04390000000001</v>
      </c>
      <c r="G164" s="288">
        <v>-7.1664326764631103E-4</v>
      </c>
      <c r="H164" s="287">
        <v>1.15728092961631E-3</v>
      </c>
    </row>
    <row r="165" spans="1:8" ht="15" customHeight="1" x14ac:dyDescent="0.25">
      <c r="A165" s="223">
        <v>45910</v>
      </c>
      <c r="B165" s="265">
        <v>129.63740000000001</v>
      </c>
      <c r="C165" s="265">
        <v>151.64340000000001</v>
      </c>
      <c r="D165" s="265">
        <v>93.543599999999998</v>
      </c>
      <c r="E165" s="265">
        <v>175.38720000000001</v>
      </c>
      <c r="F165" s="265">
        <v>162.4325</v>
      </c>
      <c r="G165" s="290">
        <v>1.8361697622408799E-3</v>
      </c>
      <c r="H165" s="289">
        <v>-2.89446067820576E-3</v>
      </c>
    </row>
    <row r="166" spans="1:8" ht="15" customHeight="1" x14ac:dyDescent="0.25">
      <c r="A166" s="227">
        <v>45911</v>
      </c>
      <c r="B166" s="271">
        <v>129.65479999999999</v>
      </c>
      <c r="C166" s="271">
        <v>151.5795</v>
      </c>
      <c r="D166" s="271">
        <v>93.401200000000003</v>
      </c>
      <c r="E166" s="271">
        <v>175.2329</v>
      </c>
      <c r="F166" s="271">
        <v>162.16990000000001</v>
      </c>
      <c r="G166" s="287">
        <v>1.34220525866535E-4</v>
      </c>
      <c r="H166" s="288">
        <v>-4.2138332429908498E-4</v>
      </c>
    </row>
    <row r="167" spans="1:8" ht="15" customHeight="1" x14ac:dyDescent="0.25">
      <c r="A167" s="223">
        <v>45912</v>
      </c>
      <c r="B167" s="265">
        <v>129.4462</v>
      </c>
      <c r="C167" s="265">
        <v>151.9699</v>
      </c>
      <c r="D167" s="265">
        <v>93.564300000000003</v>
      </c>
      <c r="E167" s="265">
        <v>175.53219999999999</v>
      </c>
      <c r="F167" s="265">
        <v>162.60050000000001</v>
      </c>
      <c r="G167" s="289">
        <v>-1.6088875999962201E-3</v>
      </c>
      <c r="H167" s="290">
        <v>2.5755461655434502E-3</v>
      </c>
    </row>
    <row r="168" spans="1:8" ht="15" customHeight="1" x14ac:dyDescent="0.25">
      <c r="A168" s="227">
        <v>45915</v>
      </c>
      <c r="B168" s="271">
        <v>129.4752</v>
      </c>
      <c r="C168" s="271">
        <v>151.91980000000001</v>
      </c>
      <c r="D168" s="271">
        <v>93.561599999999999</v>
      </c>
      <c r="E168" s="271">
        <v>175.8458</v>
      </c>
      <c r="F168" s="271">
        <v>162.55520000000001</v>
      </c>
      <c r="G168" s="287">
        <v>2.24031296399474E-4</v>
      </c>
      <c r="H168" s="288">
        <v>-3.2967054660160101E-4</v>
      </c>
    </row>
    <row r="169" spans="1:8" ht="15" customHeight="1" x14ac:dyDescent="0.25">
      <c r="A169" s="223">
        <v>45916</v>
      </c>
      <c r="B169" s="265">
        <v>129.28980000000001</v>
      </c>
      <c r="C169" s="265">
        <v>152.18700000000001</v>
      </c>
      <c r="D169" s="265">
        <v>93.902600000000007</v>
      </c>
      <c r="E169" s="265">
        <v>176.24019999999999</v>
      </c>
      <c r="F169" s="265">
        <v>163.18289999999999</v>
      </c>
      <c r="G169" s="289">
        <v>-1.43193445540135E-3</v>
      </c>
      <c r="H169" s="290">
        <v>1.75882274726535E-3</v>
      </c>
    </row>
    <row r="170" spans="1:8" ht="15" customHeight="1" x14ac:dyDescent="0.25">
      <c r="A170" s="227">
        <v>45917</v>
      </c>
      <c r="B170" s="271">
        <v>129.11019999999999</v>
      </c>
      <c r="C170" s="271">
        <v>152.49209999999999</v>
      </c>
      <c r="D170" s="271">
        <v>93.8369</v>
      </c>
      <c r="E170" s="271">
        <v>176.07939999999999</v>
      </c>
      <c r="F170" s="271">
        <v>163.9599</v>
      </c>
      <c r="G170" s="288">
        <v>-1.38912737122354E-3</v>
      </c>
      <c r="H170" s="287">
        <v>2.00477044688441E-3</v>
      </c>
    </row>
    <row r="171" spans="1:8" ht="15" customHeight="1" x14ac:dyDescent="0.25">
      <c r="A171" s="223">
        <v>45918</v>
      </c>
      <c r="B171" s="265">
        <v>129.0523</v>
      </c>
      <c r="C171" s="265">
        <v>152.64949999999999</v>
      </c>
      <c r="D171" s="265">
        <v>93.668899999999994</v>
      </c>
      <c r="E171" s="265">
        <v>175.94040000000001</v>
      </c>
      <c r="F171" s="265">
        <v>163.6474</v>
      </c>
      <c r="G171" s="289">
        <v>-4.4845411129401701E-4</v>
      </c>
      <c r="H171" s="290">
        <v>1.03218461808829E-3</v>
      </c>
    </row>
    <row r="172" spans="1:8" ht="15" customHeight="1" x14ac:dyDescent="0.25">
      <c r="A172" s="227">
        <v>45919</v>
      </c>
      <c r="B172" s="271">
        <v>129.3477</v>
      </c>
      <c r="C172" s="271">
        <v>152.21639999999999</v>
      </c>
      <c r="D172" s="271">
        <v>93.648799999999994</v>
      </c>
      <c r="E172" s="271">
        <v>174.49940000000001</v>
      </c>
      <c r="F172" s="271">
        <v>162.845</v>
      </c>
      <c r="G172" s="287">
        <v>2.2889944619353098E-3</v>
      </c>
      <c r="H172" s="288">
        <v>-2.8372185955407598E-3</v>
      </c>
    </row>
    <row r="173" spans="1:8" ht="15" customHeight="1" x14ac:dyDescent="0.25">
      <c r="A173" s="223">
        <v>45922</v>
      </c>
      <c r="B173" s="265">
        <v>129.3604</v>
      </c>
      <c r="C173" s="265">
        <v>152.17310000000001</v>
      </c>
      <c r="D173" s="265">
        <v>93.7089</v>
      </c>
      <c r="E173" s="265">
        <v>174.45779999999999</v>
      </c>
      <c r="F173" s="265">
        <v>162.65620000000001</v>
      </c>
      <c r="G173" s="290">
        <v>9.8184969659298501E-5</v>
      </c>
      <c r="H173" s="289">
        <v>-2.8446343495169802E-4</v>
      </c>
    </row>
    <row r="174" spans="1:8" ht="15" customHeight="1" x14ac:dyDescent="0.25">
      <c r="A174" s="227">
        <v>45923</v>
      </c>
      <c r="B174" s="271">
        <v>129.26089999999999</v>
      </c>
      <c r="C174" s="271">
        <v>152.39859999999999</v>
      </c>
      <c r="D174" s="271">
        <v>93.386499999999998</v>
      </c>
      <c r="E174" s="271">
        <v>174.73599999999999</v>
      </c>
      <c r="F174" s="271">
        <v>163.1053</v>
      </c>
      <c r="G174" s="288">
        <v>-7.6916892650302803E-4</v>
      </c>
      <c r="H174" s="287">
        <v>1.4818650602503899E-3</v>
      </c>
    </row>
    <row r="175" spans="1:8" ht="15" customHeight="1" x14ac:dyDescent="0.25">
      <c r="A175" s="223">
        <v>45924</v>
      </c>
      <c r="B175" s="265">
        <v>129.26660000000001</v>
      </c>
      <c r="C175" s="265">
        <v>152.39240000000001</v>
      </c>
      <c r="D175" s="265">
        <v>93.302999999999997</v>
      </c>
      <c r="E175" s="265">
        <v>174.2842</v>
      </c>
      <c r="F175" s="265">
        <v>162.99940000000001</v>
      </c>
      <c r="G175" s="290">
        <v>4.4096861464115699E-5</v>
      </c>
      <c r="H175" s="289">
        <v>-4.0682788424395399E-5</v>
      </c>
    </row>
    <row r="176" spans="1:8" ht="15" customHeight="1" x14ac:dyDescent="0.25">
      <c r="A176" s="227">
        <v>45925</v>
      </c>
      <c r="B176" s="271">
        <v>129.56790000000001</v>
      </c>
      <c r="C176" s="271">
        <v>151.86660000000001</v>
      </c>
      <c r="D176" s="271">
        <v>93.217699999999994</v>
      </c>
      <c r="E176" s="271">
        <v>174.12700000000001</v>
      </c>
      <c r="F176" s="271">
        <v>162.63079999999999</v>
      </c>
      <c r="G176" s="287">
        <v>2.3308418415892698E-3</v>
      </c>
      <c r="H176" s="288">
        <v>-3.4503032959649601E-3</v>
      </c>
    </row>
    <row r="177" spans="1:8" ht="15" customHeight="1" x14ac:dyDescent="0.25">
      <c r="A177" s="223">
        <v>45926</v>
      </c>
      <c r="B177" s="265">
        <v>129.81120000000001</v>
      </c>
      <c r="C177" s="265">
        <v>151.5027</v>
      </c>
      <c r="D177" s="265">
        <v>93.078000000000003</v>
      </c>
      <c r="E177" s="265">
        <v>173.26650000000001</v>
      </c>
      <c r="F177" s="265">
        <v>162.25389999999999</v>
      </c>
      <c r="G177" s="290">
        <v>1.87777991308047E-3</v>
      </c>
      <c r="H177" s="289">
        <v>-2.3961819122835198E-3</v>
      </c>
    </row>
    <row r="178" spans="1:8" ht="15" customHeight="1" x14ac:dyDescent="0.25">
      <c r="A178" s="227">
        <v>45929</v>
      </c>
      <c r="B178" s="271">
        <v>129.5505</v>
      </c>
      <c r="C178" s="271">
        <v>151.9692</v>
      </c>
      <c r="D178" s="271">
        <v>93.057900000000004</v>
      </c>
      <c r="E178" s="271">
        <v>174.209</v>
      </c>
      <c r="F178" s="271">
        <v>162.7928</v>
      </c>
      <c r="G178" s="288">
        <v>-2.00830128679197E-3</v>
      </c>
      <c r="H178" s="287">
        <v>3.0791530447971099E-3</v>
      </c>
    </row>
    <row r="179" spans="1:8" ht="15" customHeight="1" x14ac:dyDescent="0.25">
      <c r="A179" s="223">
        <v>45930</v>
      </c>
      <c r="B179" s="265">
        <v>129.4693</v>
      </c>
      <c r="C179" s="265">
        <v>152.05520000000001</v>
      </c>
      <c r="D179" s="265">
        <v>93.046300000000002</v>
      </c>
      <c r="E179" s="265">
        <v>174.13489999999999</v>
      </c>
      <c r="F179" s="265">
        <v>162.6703</v>
      </c>
      <c r="G179" s="289">
        <v>-6.2678260601079004E-4</v>
      </c>
      <c r="H179" s="290">
        <v>5.6590414373447495E-4</v>
      </c>
    </row>
    <row r="180" spans="1:8" ht="15" customHeight="1" x14ac:dyDescent="0.25">
      <c r="A180" s="227">
        <v>45931</v>
      </c>
      <c r="B180" s="271">
        <v>129.41720000000001</v>
      </c>
      <c r="C180" s="271">
        <v>152.11699999999999</v>
      </c>
      <c r="D180" s="271">
        <v>92.965500000000006</v>
      </c>
      <c r="E180" s="271">
        <v>174.28749999999999</v>
      </c>
      <c r="F180" s="271">
        <v>162.82990000000001</v>
      </c>
      <c r="G180" s="288">
        <v>-4.0241200037383101E-4</v>
      </c>
      <c r="H180" s="287">
        <v>4.0643134861539898E-4</v>
      </c>
    </row>
    <row r="181" spans="1:8" ht="15" customHeight="1" x14ac:dyDescent="0.25">
      <c r="A181" s="223">
        <v>45932</v>
      </c>
      <c r="B181" s="265">
        <v>129.43459999999999</v>
      </c>
      <c r="C181" s="265">
        <v>152.0598</v>
      </c>
      <c r="D181" s="265">
        <v>92.867900000000006</v>
      </c>
      <c r="E181" s="265">
        <v>174.66380000000001</v>
      </c>
      <c r="F181" s="265">
        <v>162.5042</v>
      </c>
      <c r="G181" s="290">
        <v>1.3444889860059201E-4</v>
      </c>
      <c r="H181" s="289">
        <v>-3.7602634813993502E-4</v>
      </c>
    </row>
    <row r="182" spans="1:8" ht="15" customHeight="1" x14ac:dyDescent="0.25">
      <c r="A182" s="227">
        <v>45933</v>
      </c>
      <c r="B182" s="271">
        <v>129.48670000000001</v>
      </c>
      <c r="C182" s="271">
        <v>151.98500000000001</v>
      </c>
      <c r="D182" s="271">
        <v>92.732299999999995</v>
      </c>
      <c r="E182" s="271">
        <v>174.29900000000001</v>
      </c>
      <c r="F182" s="271">
        <v>162.41669999999999</v>
      </c>
      <c r="G182" s="287">
        <v>4.0251988262807197E-4</v>
      </c>
      <c r="H182" s="288">
        <v>-4.9191173472529204E-4</v>
      </c>
    </row>
    <row r="183" spans="1:8" ht="15" customHeight="1" x14ac:dyDescent="0.25">
      <c r="A183" s="223">
        <v>45936</v>
      </c>
      <c r="B183" s="265">
        <v>129.80539999999999</v>
      </c>
      <c r="C183" s="265">
        <v>151.45699999999999</v>
      </c>
      <c r="D183" s="265">
        <v>93.040499999999994</v>
      </c>
      <c r="E183" s="265">
        <v>174.4931</v>
      </c>
      <c r="F183" s="265">
        <v>162.50049999999999</v>
      </c>
      <c r="G183" s="290">
        <v>2.4612566387125501E-3</v>
      </c>
      <c r="H183" s="289">
        <v>-3.4740270421425002E-3</v>
      </c>
    </row>
    <row r="184" spans="1:8" ht="15" customHeight="1" x14ac:dyDescent="0.25">
      <c r="A184" s="227">
        <v>45937</v>
      </c>
      <c r="B184" s="271">
        <v>129.79390000000001</v>
      </c>
      <c r="C184" s="271">
        <v>151.56039999999999</v>
      </c>
      <c r="D184" s="271">
        <v>92.9923</v>
      </c>
      <c r="E184" s="271">
        <v>174.45419999999999</v>
      </c>
      <c r="F184" s="271">
        <v>162.8021</v>
      </c>
      <c r="G184" s="288">
        <v>-8.8594157099608495E-5</v>
      </c>
      <c r="H184" s="287">
        <v>6.8270202103559697E-4</v>
      </c>
    </row>
    <row r="185" spans="1:8" ht="15" customHeight="1" x14ac:dyDescent="0.25">
      <c r="A185" s="223">
        <v>45938</v>
      </c>
      <c r="B185" s="265">
        <v>130.00229999999999</v>
      </c>
      <c r="C185" s="265">
        <v>151.19919999999999</v>
      </c>
      <c r="D185" s="265">
        <v>93.154899999999998</v>
      </c>
      <c r="E185" s="265">
        <v>174.4178</v>
      </c>
      <c r="F185" s="265">
        <v>162.2595</v>
      </c>
      <c r="G185" s="290">
        <v>1.6056224522107399E-3</v>
      </c>
      <c r="H185" s="289">
        <v>-2.38320827867966E-3</v>
      </c>
    </row>
    <row r="186" spans="1:8" ht="15" customHeight="1" x14ac:dyDescent="0.25">
      <c r="A186" s="227">
        <v>45939</v>
      </c>
      <c r="B186" s="271">
        <v>130.095</v>
      </c>
      <c r="C186" s="271">
        <v>151.0924</v>
      </c>
      <c r="D186" s="271">
        <v>93.207999999999998</v>
      </c>
      <c r="E186" s="271">
        <v>173.7148</v>
      </c>
      <c r="F186" s="271">
        <v>161.98099999999999</v>
      </c>
      <c r="G186" s="287">
        <v>7.1306430732387405E-4</v>
      </c>
      <c r="H186" s="288">
        <v>-7.06352943666277E-4</v>
      </c>
    </row>
    <row r="187" spans="1:8" ht="15" customHeight="1" x14ac:dyDescent="0.25">
      <c r="A187" s="223">
        <v>45940</v>
      </c>
      <c r="B187" s="265">
        <v>130.2747</v>
      </c>
      <c r="C187" s="265">
        <v>150.80600000000001</v>
      </c>
      <c r="D187" s="265">
        <v>92.890799999999999</v>
      </c>
      <c r="E187" s="265">
        <v>173.20310000000001</v>
      </c>
      <c r="F187" s="265">
        <v>161.7115</v>
      </c>
      <c r="G187" s="290">
        <v>1.38129828202471E-3</v>
      </c>
      <c r="H187" s="289">
        <v>-1.8955288287166899E-3</v>
      </c>
    </row>
    <row r="188" spans="1:8" ht="15" customHeight="1" x14ac:dyDescent="0.25">
      <c r="A188" s="227">
        <v>45943</v>
      </c>
      <c r="B188" s="271">
        <v>130.1472</v>
      </c>
      <c r="C188" s="271">
        <v>150.97730000000001</v>
      </c>
      <c r="D188" s="271">
        <v>92.922499999999999</v>
      </c>
      <c r="E188" s="271">
        <v>173.5412</v>
      </c>
      <c r="F188" s="271">
        <v>162.11660000000001</v>
      </c>
      <c r="G188" s="288">
        <v>-9.7870115993359307E-4</v>
      </c>
      <c r="H188" s="287">
        <v>1.13589644974343E-3</v>
      </c>
    </row>
    <row r="189" spans="1:8" ht="15" customHeight="1" x14ac:dyDescent="0.25">
      <c r="A189" s="223">
        <v>45944</v>
      </c>
      <c r="B189" s="265">
        <v>130.34989999999999</v>
      </c>
      <c r="C189" s="265">
        <v>150.63890000000001</v>
      </c>
      <c r="D189" s="265">
        <v>92.716399999999993</v>
      </c>
      <c r="E189" s="265">
        <v>172.9008</v>
      </c>
      <c r="F189" s="265">
        <v>162.2176</v>
      </c>
      <c r="G189" s="290">
        <v>1.5574672370977101E-3</v>
      </c>
      <c r="H189" s="289">
        <v>-2.2413965543165398E-3</v>
      </c>
    </row>
    <row r="190" spans="1:8" ht="15" customHeight="1" x14ac:dyDescent="0.25">
      <c r="A190" s="227">
        <v>45945</v>
      </c>
      <c r="B190" s="271">
        <v>130.01400000000001</v>
      </c>
      <c r="C190" s="271">
        <v>151.26480000000001</v>
      </c>
      <c r="D190" s="271">
        <v>92.622399999999999</v>
      </c>
      <c r="E190" s="271">
        <v>173.6994</v>
      </c>
      <c r="F190" s="271">
        <v>162.61920000000001</v>
      </c>
      <c r="G190" s="288">
        <v>-2.5769103006598698E-3</v>
      </c>
      <c r="H190" s="287">
        <v>4.1549692675664201E-3</v>
      </c>
    </row>
    <row r="191" spans="1:8" ht="15" customHeight="1" x14ac:dyDescent="0.25">
      <c r="A191" s="223">
        <v>45946</v>
      </c>
      <c r="B191" s="265">
        <v>129.93279999999999</v>
      </c>
      <c r="C191" s="265">
        <v>151.3717</v>
      </c>
      <c r="D191" s="265">
        <v>92.581000000000003</v>
      </c>
      <c r="E191" s="265">
        <v>174.44159999999999</v>
      </c>
      <c r="F191" s="265">
        <v>163.0172</v>
      </c>
      <c r="G191" s="289">
        <v>-6.2454812558665495E-4</v>
      </c>
      <c r="H191" s="290">
        <v>7.06707707278875E-4</v>
      </c>
    </row>
    <row r="192" spans="1:8" ht="15" customHeight="1" x14ac:dyDescent="0.25">
      <c r="A192" s="227">
        <v>45947</v>
      </c>
      <c r="B192" s="271">
        <v>129.7765</v>
      </c>
      <c r="C192" s="271">
        <v>151.61789999999999</v>
      </c>
      <c r="D192" s="271">
        <v>92.3249</v>
      </c>
      <c r="E192" s="271">
        <v>174.17330000000001</v>
      </c>
      <c r="F192" s="271">
        <v>164.36770000000001</v>
      </c>
      <c r="G192" s="288">
        <v>-1.2029295143334299E-3</v>
      </c>
      <c r="H192" s="287">
        <v>1.62645989970378E-3</v>
      </c>
    </row>
    <row r="193" spans="1:8" ht="15" customHeight="1" x14ac:dyDescent="0.25">
      <c r="A193" s="223">
        <v>45950</v>
      </c>
      <c r="B193" s="265">
        <v>129.85749999999999</v>
      </c>
      <c r="C193" s="265">
        <v>151.4528</v>
      </c>
      <c r="D193" s="265">
        <v>92.540599999999998</v>
      </c>
      <c r="E193" s="265">
        <v>174.27029999999999</v>
      </c>
      <c r="F193" s="265">
        <v>163.69280000000001</v>
      </c>
      <c r="G193" s="290">
        <v>6.2414998092874497E-4</v>
      </c>
      <c r="H193" s="289">
        <v>-1.0889215587340799E-3</v>
      </c>
    </row>
    <row r="194" spans="1:8" ht="15" customHeight="1" x14ac:dyDescent="0.25">
      <c r="A194" s="227">
        <v>45951</v>
      </c>
      <c r="B194" s="271">
        <v>130.03710000000001</v>
      </c>
      <c r="C194" s="271">
        <v>151.16159999999999</v>
      </c>
      <c r="D194" s="271">
        <v>92.483999999999995</v>
      </c>
      <c r="E194" s="271">
        <v>174.07919999999999</v>
      </c>
      <c r="F194" s="271">
        <v>163.92959999999999</v>
      </c>
      <c r="G194" s="287">
        <v>1.3830545020505601E-3</v>
      </c>
      <c r="H194" s="288">
        <v>-1.9227112341271299E-3</v>
      </c>
    </row>
    <row r="195" spans="1:8" ht="15" customHeight="1" x14ac:dyDescent="0.25">
      <c r="A195" s="223">
        <v>45952</v>
      </c>
      <c r="B195" s="265">
        <v>130.15299999999999</v>
      </c>
      <c r="C195" s="265">
        <v>150.93190000000001</v>
      </c>
      <c r="D195" s="265">
        <v>92.906700000000001</v>
      </c>
      <c r="E195" s="265">
        <v>173.42169999999999</v>
      </c>
      <c r="F195" s="265">
        <v>163.45750000000001</v>
      </c>
      <c r="G195" s="290">
        <v>8.9128410276750902E-4</v>
      </c>
      <c r="H195" s="289">
        <v>-1.51956581565671E-3</v>
      </c>
    </row>
    <row r="196" spans="1:8" ht="15" customHeight="1" x14ac:dyDescent="0.25">
      <c r="A196" s="227">
        <v>45953</v>
      </c>
      <c r="B196" s="271">
        <v>130.13560000000001</v>
      </c>
      <c r="C196" s="271">
        <v>150.99639999999999</v>
      </c>
      <c r="D196" s="271">
        <v>92.983900000000006</v>
      </c>
      <c r="E196" s="271">
        <v>173.7458</v>
      </c>
      <c r="F196" s="271">
        <v>163.23060000000001</v>
      </c>
      <c r="G196" s="288">
        <v>-1.33688812397614E-4</v>
      </c>
      <c r="H196" s="287">
        <v>4.2734504766706001E-4</v>
      </c>
    </row>
    <row r="197" spans="1:8" ht="15" customHeight="1" x14ac:dyDescent="0.25">
      <c r="A197" s="223">
        <v>45954</v>
      </c>
      <c r="B197" s="265">
        <v>130.13560000000001</v>
      </c>
      <c r="C197" s="265">
        <v>151.06790000000001</v>
      </c>
      <c r="D197" s="265">
        <v>92.8446</v>
      </c>
      <c r="E197" s="265">
        <v>173.1678</v>
      </c>
      <c r="F197" s="265">
        <v>163.48689999999999</v>
      </c>
      <c r="G197" s="225" t="s">
        <v>18</v>
      </c>
      <c r="H197" s="290">
        <v>4.7352122302268801E-4</v>
      </c>
    </row>
    <row r="198" spans="1:8" ht="15" customHeight="1" x14ac:dyDescent="0.25">
      <c r="A198" s="227">
        <v>45957</v>
      </c>
      <c r="B198" s="271">
        <v>130.07759999999999</v>
      </c>
      <c r="C198" s="271">
        <v>151.13720000000001</v>
      </c>
      <c r="D198" s="271">
        <v>93.055499999999995</v>
      </c>
      <c r="E198" s="271">
        <v>173.15979999999999</v>
      </c>
      <c r="F198" s="271">
        <v>163.16810000000001</v>
      </c>
      <c r="G198" s="288">
        <v>-4.4568895828678301E-4</v>
      </c>
      <c r="H198" s="287">
        <v>4.5873411889618698E-4</v>
      </c>
    </row>
    <row r="199" spans="1:8" ht="15" customHeight="1" x14ac:dyDescent="0.25">
      <c r="A199" s="223">
        <v>45958</v>
      </c>
      <c r="B199" s="265">
        <v>129.9212</v>
      </c>
      <c r="C199" s="265">
        <v>151.4102</v>
      </c>
      <c r="D199" s="265">
        <v>92.784300000000002</v>
      </c>
      <c r="E199" s="265">
        <v>173.25139999999999</v>
      </c>
      <c r="F199" s="265">
        <v>163.54640000000001</v>
      </c>
      <c r="G199" s="289">
        <v>-1.20235920711942E-3</v>
      </c>
      <c r="H199" s="290">
        <v>1.80630579367613E-3</v>
      </c>
    </row>
    <row r="200" spans="1:8" ht="15" customHeight="1" x14ac:dyDescent="0.25">
      <c r="A200" s="227">
        <v>45959</v>
      </c>
      <c r="B200" s="271">
        <v>130.0198</v>
      </c>
      <c r="C200" s="271">
        <v>151.25210000000001</v>
      </c>
      <c r="D200" s="271">
        <v>93.341399999999993</v>
      </c>
      <c r="E200" s="271">
        <v>171.98390000000001</v>
      </c>
      <c r="F200" s="271">
        <v>163.4442</v>
      </c>
      <c r="G200" s="287">
        <v>7.5892156168522195E-4</v>
      </c>
      <c r="H200" s="288">
        <v>-1.0441832848776501E-3</v>
      </c>
    </row>
    <row r="201" spans="1:8" ht="15" customHeight="1" x14ac:dyDescent="0.25">
      <c r="A201" s="223">
        <v>45960</v>
      </c>
      <c r="B201" s="265">
        <v>130.1183</v>
      </c>
      <c r="C201" s="265">
        <v>151.11940000000001</v>
      </c>
      <c r="D201" s="265">
        <v>93.318299999999994</v>
      </c>
      <c r="E201" s="265">
        <v>171.67140000000001</v>
      </c>
      <c r="F201" s="265">
        <v>162.86170000000001</v>
      </c>
      <c r="G201" s="290">
        <v>7.5757692289934997E-4</v>
      </c>
      <c r="H201" s="289">
        <v>-8.7734319060694997E-4</v>
      </c>
    </row>
    <row r="202" spans="1:8" ht="15" customHeight="1" x14ac:dyDescent="0.25">
      <c r="A202" s="227">
        <v>45961</v>
      </c>
      <c r="B202" s="271">
        <v>130.37309999999999</v>
      </c>
      <c r="C202" s="271">
        <v>150.71129999999999</v>
      </c>
      <c r="D202" s="271">
        <v>93.120400000000004</v>
      </c>
      <c r="E202" s="271">
        <v>171.3407</v>
      </c>
      <c r="F202" s="271">
        <v>162.4385</v>
      </c>
      <c r="G202" s="287">
        <v>1.9582180216002301E-3</v>
      </c>
      <c r="H202" s="288">
        <v>-2.7005136335904699E-3</v>
      </c>
    </row>
    <row r="203" spans="1:8" ht="15" customHeight="1" x14ac:dyDescent="0.25">
      <c r="A203" s="223">
        <v>45964</v>
      </c>
      <c r="B203" s="265">
        <v>130.51220000000001</v>
      </c>
      <c r="C203" s="265">
        <v>150.46100000000001</v>
      </c>
      <c r="D203" s="265">
        <v>93.083399999999997</v>
      </c>
      <c r="E203" s="265">
        <v>171.3321</v>
      </c>
      <c r="F203" s="265">
        <v>162.04650000000001</v>
      </c>
      <c r="G203" s="290">
        <v>1.0669378882608401E-3</v>
      </c>
      <c r="H203" s="289">
        <v>-1.6607911948206501E-3</v>
      </c>
    </row>
    <row r="204" spans="1:8" ht="15" customHeight="1" x14ac:dyDescent="0.25">
      <c r="A204" s="227">
        <v>45965</v>
      </c>
      <c r="B204" s="271">
        <v>130.52369999999999</v>
      </c>
      <c r="C204" s="271">
        <v>150.46119999999999</v>
      </c>
      <c r="D204" s="271">
        <v>92.823499999999996</v>
      </c>
      <c r="E204" s="271">
        <v>171.33600000000001</v>
      </c>
      <c r="F204" s="271">
        <v>161.70939999999999</v>
      </c>
      <c r="G204" s="287">
        <v>8.8114367852165602E-5</v>
      </c>
      <c r="H204" s="287">
        <v>1.3292481106930201E-6</v>
      </c>
    </row>
    <row r="205" spans="1:8" ht="15" customHeight="1" x14ac:dyDescent="0.25">
      <c r="A205" s="223">
        <v>45966</v>
      </c>
      <c r="B205" s="265">
        <v>130.68600000000001</v>
      </c>
      <c r="C205" s="265">
        <v>150.20400000000001</v>
      </c>
      <c r="D205" s="265">
        <v>92.629300000000001</v>
      </c>
      <c r="E205" s="265">
        <v>170.36369999999999</v>
      </c>
      <c r="F205" s="265">
        <v>161.4803</v>
      </c>
      <c r="G205" s="290">
        <v>1.24345233854095E-3</v>
      </c>
      <c r="H205" s="289">
        <v>-1.7094107982654799E-3</v>
      </c>
    </row>
    <row r="206" spans="1:8" ht="15" customHeight="1" x14ac:dyDescent="0.25">
      <c r="A206" s="227">
        <v>45967</v>
      </c>
      <c r="B206" s="271">
        <v>130.62209999999999</v>
      </c>
      <c r="C206" s="271">
        <v>150.33949999999999</v>
      </c>
      <c r="D206" s="271">
        <v>92.623400000000004</v>
      </c>
      <c r="E206" s="271">
        <v>170.64750000000001</v>
      </c>
      <c r="F206" s="271">
        <v>161.46119999999999</v>
      </c>
      <c r="G206" s="288">
        <v>-4.8895826637906903E-4</v>
      </c>
      <c r="H206" s="287">
        <v>9.02106468535946E-4</v>
      </c>
    </row>
    <row r="207" spans="1:8" ht="15" customHeight="1" x14ac:dyDescent="0.25">
      <c r="A207" s="223">
        <v>45968</v>
      </c>
      <c r="B207" s="265">
        <v>130.50049999999999</v>
      </c>
      <c r="C207" s="265">
        <v>150.53890000000001</v>
      </c>
      <c r="D207" s="265">
        <v>92.425799999999995</v>
      </c>
      <c r="E207" s="265">
        <v>171.18190000000001</v>
      </c>
      <c r="F207" s="265">
        <v>161.54050000000001</v>
      </c>
      <c r="G207" s="289">
        <v>-9.3092975844055704E-4</v>
      </c>
      <c r="H207" s="290">
        <v>1.3263314032574401E-3</v>
      </c>
    </row>
    <row r="208" spans="1:8" ht="15" customHeight="1" x14ac:dyDescent="0.25">
      <c r="A208" s="227">
        <v>45971</v>
      </c>
      <c r="B208" s="271">
        <v>130.33250000000001</v>
      </c>
      <c r="C208" s="271">
        <v>150.80119999999999</v>
      </c>
      <c r="D208" s="271">
        <v>93.018299999999996</v>
      </c>
      <c r="E208" s="271">
        <v>171.47890000000001</v>
      </c>
      <c r="F208" s="271">
        <v>161.7732</v>
      </c>
      <c r="G208" s="288">
        <v>-1.28735138945813E-3</v>
      </c>
      <c r="H208" s="287">
        <v>1.74240677990856E-3</v>
      </c>
    </row>
    <row r="209" spans="1:8" ht="15" customHeight="1" x14ac:dyDescent="0.25">
      <c r="A209" s="223">
        <v>45972</v>
      </c>
      <c r="B209" s="265">
        <v>130.37880000000001</v>
      </c>
      <c r="C209" s="265">
        <v>150.71789999999999</v>
      </c>
      <c r="D209" s="265">
        <v>92.925299999999993</v>
      </c>
      <c r="E209" s="265">
        <v>171.16820000000001</v>
      </c>
      <c r="F209" s="265">
        <v>162.22319999999999</v>
      </c>
      <c r="G209" s="290">
        <v>3.55245238141011E-4</v>
      </c>
      <c r="H209" s="289">
        <v>-5.5238287228487305E-4</v>
      </c>
    </row>
    <row r="210" spans="1:8" ht="15" customHeight="1" x14ac:dyDescent="0.25">
      <c r="A210" s="227">
        <v>45973</v>
      </c>
      <c r="B210" s="271">
        <v>130.28039999999999</v>
      </c>
      <c r="C210" s="271">
        <v>150.90379999999999</v>
      </c>
      <c r="D210" s="271">
        <v>93.001000000000005</v>
      </c>
      <c r="E210" s="271">
        <v>171.35390000000001</v>
      </c>
      <c r="F210" s="271">
        <v>162.92179999999999</v>
      </c>
      <c r="G210" s="288">
        <v>-7.5472392750985896E-4</v>
      </c>
      <c r="H210" s="287">
        <v>1.2334301366991899E-3</v>
      </c>
    </row>
    <row r="211" spans="1:8" ht="15" customHeight="1" x14ac:dyDescent="0.25">
      <c r="A211" s="223">
        <v>45974</v>
      </c>
      <c r="B211" s="265">
        <v>130.1645</v>
      </c>
      <c r="C211" s="265">
        <v>151.18610000000001</v>
      </c>
      <c r="D211" s="265">
        <v>93.017799999999994</v>
      </c>
      <c r="E211" s="265">
        <v>171.02160000000001</v>
      </c>
      <c r="F211" s="265">
        <v>163.49250000000001</v>
      </c>
      <c r="G211" s="289">
        <v>-8.8961962044931098E-4</v>
      </c>
      <c r="H211" s="290">
        <v>1.87072823878531E-3</v>
      </c>
    </row>
    <row r="212" spans="1:8" ht="15" customHeight="1" x14ac:dyDescent="0.25">
      <c r="A212" s="227">
        <v>45975</v>
      </c>
      <c r="B212" s="271">
        <v>130.08349999999999</v>
      </c>
      <c r="C212" s="271">
        <v>151.34569999999999</v>
      </c>
      <c r="D212" s="271">
        <v>92.648799999999994</v>
      </c>
      <c r="E212" s="271">
        <v>170.78049999999999</v>
      </c>
      <c r="F212" s="271">
        <v>164.51689999999999</v>
      </c>
      <c r="G212" s="288">
        <v>-6.2228948753317902E-4</v>
      </c>
      <c r="H212" s="287">
        <v>1.0556526029839E-3</v>
      </c>
    </row>
    <row r="213" spans="1:8" ht="15" customHeight="1" x14ac:dyDescent="0.25">
      <c r="A213" s="223">
        <v>45978</v>
      </c>
      <c r="B213" s="265">
        <v>130.17609999999999</v>
      </c>
      <c r="C213" s="265">
        <v>151.1215</v>
      </c>
      <c r="D213" s="265">
        <v>92.860299999999995</v>
      </c>
      <c r="E213" s="265">
        <v>171.48750000000001</v>
      </c>
      <c r="F213" s="265">
        <v>164.01179999999999</v>
      </c>
      <c r="G213" s="290">
        <v>7.1185046527810802E-4</v>
      </c>
      <c r="H213" s="289">
        <v>-1.4813767421207899E-3</v>
      </c>
    </row>
    <row r="214" spans="1:8" ht="15" customHeight="1" x14ac:dyDescent="0.25">
      <c r="A214" s="227">
        <v>45979</v>
      </c>
      <c r="B214" s="271">
        <v>130.18780000000001</v>
      </c>
      <c r="C214" s="271">
        <v>151.10900000000001</v>
      </c>
      <c r="D214" s="271">
        <v>92.709900000000005</v>
      </c>
      <c r="E214" s="271">
        <v>171.45769999999999</v>
      </c>
      <c r="F214" s="271">
        <v>163.8819</v>
      </c>
      <c r="G214" s="287">
        <v>8.9878249540653599E-5</v>
      </c>
      <c r="H214" s="288">
        <v>-8.27149015857343E-5</v>
      </c>
    </row>
    <row r="215" spans="1:8" ht="15" customHeight="1" x14ac:dyDescent="0.25">
      <c r="A215" s="223">
        <v>45980</v>
      </c>
      <c r="B215" s="265">
        <v>130.30359999999999</v>
      </c>
      <c r="C215" s="265">
        <v>150.89160000000001</v>
      </c>
      <c r="D215" s="265">
        <v>93.084000000000003</v>
      </c>
      <c r="E215" s="265">
        <v>171.20439999999999</v>
      </c>
      <c r="F215" s="265">
        <v>163.0222</v>
      </c>
      <c r="G215" s="290">
        <v>8.8948426811108505E-4</v>
      </c>
      <c r="H215" s="289">
        <v>-1.4386965700256E-3</v>
      </c>
    </row>
    <row r="216" spans="1:8" ht="15" customHeight="1" x14ac:dyDescent="0.25">
      <c r="A216" s="227">
        <v>45981</v>
      </c>
      <c r="B216" s="271">
        <v>130.6164</v>
      </c>
      <c r="C216" s="271">
        <v>150.41130000000001</v>
      </c>
      <c r="D216" s="271">
        <v>92.896000000000001</v>
      </c>
      <c r="E216" s="271">
        <v>170.62889999999999</v>
      </c>
      <c r="F216" s="271">
        <v>161.94460000000001</v>
      </c>
      <c r="G216" s="287">
        <v>2.40054764411735E-3</v>
      </c>
      <c r="H216" s="288">
        <v>-3.1830797738243701E-3</v>
      </c>
    </row>
    <row r="217" spans="1:8" ht="15" customHeight="1" x14ac:dyDescent="0.25">
      <c r="A217" s="223">
        <v>45982</v>
      </c>
      <c r="B217" s="265">
        <v>130.48310000000001</v>
      </c>
      <c r="C217" s="265">
        <v>150.6754</v>
      </c>
      <c r="D217" s="265">
        <v>92.587199999999996</v>
      </c>
      <c r="E217" s="265">
        <v>170.7894</v>
      </c>
      <c r="F217" s="265">
        <v>162.26220000000001</v>
      </c>
      <c r="G217" s="289">
        <v>-1.0205456588911999E-3</v>
      </c>
      <c r="H217" s="290">
        <v>1.75585212015306E-3</v>
      </c>
    </row>
    <row r="218" spans="1:8" ht="15" customHeight="1" x14ac:dyDescent="0.25">
      <c r="A218" s="227">
        <v>45985</v>
      </c>
      <c r="B218" s="271">
        <v>130.62799999999999</v>
      </c>
      <c r="C218" s="271">
        <v>150.41810000000001</v>
      </c>
      <c r="D218" s="271">
        <v>92.601299999999995</v>
      </c>
      <c r="E218" s="271">
        <v>171.02379999999999</v>
      </c>
      <c r="F218" s="271">
        <v>161.40870000000001</v>
      </c>
      <c r="G218" s="287">
        <v>1.1104886379920101E-3</v>
      </c>
      <c r="H218" s="288">
        <v>-1.70764437990534E-3</v>
      </c>
    </row>
    <row r="219" spans="1:8" ht="15" customHeight="1" x14ac:dyDescent="0.25">
      <c r="A219" s="223">
        <v>45986</v>
      </c>
      <c r="B219" s="265">
        <v>130.5933</v>
      </c>
      <c r="C219" s="265">
        <v>150.44999999999999</v>
      </c>
      <c r="D219" s="265">
        <v>92.498000000000005</v>
      </c>
      <c r="E219" s="265">
        <v>171.40479999999999</v>
      </c>
      <c r="F219" s="265">
        <v>161.41569999999999</v>
      </c>
      <c r="G219" s="289">
        <v>-2.6563983219518599E-4</v>
      </c>
      <c r="H219" s="290">
        <v>2.12075541440759E-4</v>
      </c>
    </row>
    <row r="220" spans="1:8" ht="15" customHeight="1" x14ac:dyDescent="0.25">
      <c r="A220" s="227">
        <v>45987</v>
      </c>
      <c r="B220" s="271">
        <v>130.32679999999999</v>
      </c>
      <c r="C220" s="271">
        <v>150.91849999999999</v>
      </c>
      <c r="D220" s="271">
        <v>92.607699999999994</v>
      </c>
      <c r="E220" s="271">
        <v>171.65199999999999</v>
      </c>
      <c r="F220" s="271">
        <v>161.73599999999999</v>
      </c>
      <c r="G220" s="288">
        <v>-2.04068662021717E-3</v>
      </c>
      <c r="H220" s="287">
        <v>3.1139913592554999E-3</v>
      </c>
    </row>
    <row r="221" spans="1:8" ht="15" customHeight="1" x14ac:dyDescent="0.25">
      <c r="A221" s="223">
        <v>45988</v>
      </c>
      <c r="B221" s="265">
        <v>130.28620000000001</v>
      </c>
      <c r="C221" s="265">
        <v>150.9691</v>
      </c>
      <c r="D221" s="265">
        <v>92.8262</v>
      </c>
      <c r="E221" s="265">
        <v>172.4161</v>
      </c>
      <c r="F221" s="265">
        <v>161.87639999999999</v>
      </c>
      <c r="G221" s="289">
        <v>-3.11524567471744E-4</v>
      </c>
      <c r="H221" s="290">
        <v>3.35280300294505E-4</v>
      </c>
    </row>
    <row r="222" spans="1:8" ht="15" customHeight="1" x14ac:dyDescent="0.25">
      <c r="A222" s="227">
        <v>45989</v>
      </c>
      <c r="B222" s="271">
        <v>130.30940000000001</v>
      </c>
      <c r="C222" s="271">
        <v>150.89179999999999</v>
      </c>
      <c r="D222" s="271">
        <v>92.806399999999996</v>
      </c>
      <c r="E222" s="271">
        <v>172.16200000000001</v>
      </c>
      <c r="F222" s="271">
        <v>161.78460000000001</v>
      </c>
      <c r="G222" s="287">
        <v>1.78069511582946E-4</v>
      </c>
      <c r="H222" s="288">
        <v>-5.1202530849037099E-4</v>
      </c>
    </row>
    <row r="223" spans="1:8" ht="15" customHeight="1" x14ac:dyDescent="0.25">
      <c r="A223" s="223">
        <v>45992</v>
      </c>
      <c r="B223" s="265">
        <v>130.1704</v>
      </c>
      <c r="C223" s="265">
        <v>151.14089999999999</v>
      </c>
      <c r="D223" s="265">
        <v>93.161900000000003</v>
      </c>
      <c r="E223" s="265">
        <v>172.24</v>
      </c>
      <c r="F223" s="265">
        <v>162.07490000000001</v>
      </c>
      <c r="G223" s="289">
        <v>-1.06669204217047E-3</v>
      </c>
      <c r="H223" s="290">
        <v>1.6508518024174201E-3</v>
      </c>
    </row>
    <row r="224" spans="1:8" ht="15" customHeight="1" x14ac:dyDescent="0.25">
      <c r="A224" s="227">
        <v>45993</v>
      </c>
      <c r="B224" s="271">
        <v>130.15870000000001</v>
      </c>
      <c r="C224" s="271">
        <v>151.16630000000001</v>
      </c>
      <c r="D224" s="271">
        <v>92.987099999999998</v>
      </c>
      <c r="E224" s="271">
        <v>171.98570000000001</v>
      </c>
      <c r="F224" s="271">
        <v>161.83860000000001</v>
      </c>
      <c r="G224" s="288">
        <v>-8.9882185197121003E-5</v>
      </c>
      <c r="H224" s="287">
        <v>1.6805510619577501E-4</v>
      </c>
    </row>
    <row r="225" spans="1:8" ht="15" customHeight="1" x14ac:dyDescent="0.25">
      <c r="A225" s="223">
        <v>45994</v>
      </c>
      <c r="B225" s="265">
        <v>130.0429</v>
      </c>
      <c r="C225" s="265">
        <v>151.38300000000001</v>
      </c>
      <c r="D225" s="265">
        <v>93.077299999999994</v>
      </c>
      <c r="E225" s="265">
        <v>172.1739</v>
      </c>
      <c r="F225" s="265">
        <v>162.09780000000001</v>
      </c>
      <c r="G225" s="289">
        <v>-8.8968313297543801E-4</v>
      </c>
      <c r="H225" s="290">
        <v>1.4335205664226501E-3</v>
      </c>
    </row>
    <row r="226" spans="1:8" ht="15" customHeight="1" x14ac:dyDescent="0.25">
      <c r="A226" s="227">
        <v>45995</v>
      </c>
      <c r="B226" s="271">
        <v>129.9444</v>
      </c>
      <c r="C226" s="271">
        <v>151.47620000000001</v>
      </c>
      <c r="D226" s="271">
        <v>93.0334</v>
      </c>
      <c r="E226" s="271">
        <v>173.24770000000001</v>
      </c>
      <c r="F226" s="271">
        <v>162.19739999999999</v>
      </c>
      <c r="G226" s="288">
        <v>-7.5744235171626396E-4</v>
      </c>
      <c r="H226" s="287">
        <v>6.1565697601451098E-4</v>
      </c>
    </row>
    <row r="227" spans="1:8" ht="15" customHeight="1" x14ac:dyDescent="0.25">
      <c r="A227" s="223">
        <v>45996</v>
      </c>
      <c r="B227" s="265">
        <v>129.9212</v>
      </c>
      <c r="C227" s="265">
        <v>151.51410000000001</v>
      </c>
      <c r="D227" s="265">
        <v>93.160200000000003</v>
      </c>
      <c r="E227" s="265">
        <v>173.45959999999999</v>
      </c>
      <c r="F227" s="265">
        <v>161.86529999999999</v>
      </c>
      <c r="G227" s="289">
        <v>-1.78537897747022E-4</v>
      </c>
      <c r="H227" s="290">
        <v>2.5020432252720299E-4</v>
      </c>
    </row>
    <row r="228" spans="1:8" ht="15" customHeight="1" x14ac:dyDescent="0.25">
      <c r="A228" s="227">
        <v>45999</v>
      </c>
      <c r="B228" s="271">
        <v>129.88059999999999</v>
      </c>
      <c r="C228" s="271">
        <v>151.53819999999999</v>
      </c>
      <c r="D228" s="271">
        <v>94.010800000000003</v>
      </c>
      <c r="E228" s="271">
        <v>173.15110000000001</v>
      </c>
      <c r="F228" s="271">
        <v>161.6738</v>
      </c>
      <c r="G228" s="288">
        <v>-3.12497113635124E-4</v>
      </c>
      <c r="H228" s="287">
        <v>1.5906110388397301E-4</v>
      </c>
    </row>
    <row r="229" spans="1:8" ht="15" customHeight="1" x14ac:dyDescent="0.25">
      <c r="A229" s="223">
        <v>46000</v>
      </c>
      <c r="B229" s="265">
        <v>130.01400000000001</v>
      </c>
      <c r="C229" s="265">
        <v>151.34280000000001</v>
      </c>
      <c r="D229" s="265">
        <v>93.835700000000003</v>
      </c>
      <c r="E229" s="265">
        <v>173.31739999999999</v>
      </c>
      <c r="F229" s="265">
        <v>161.29769999999999</v>
      </c>
      <c r="G229" s="290">
        <v>1.0270971954242699E-3</v>
      </c>
      <c r="H229" s="289">
        <v>-1.2894438498014501E-3</v>
      </c>
    </row>
    <row r="230" spans="1:8" ht="15" customHeight="1" x14ac:dyDescent="0.25">
      <c r="A230" s="227">
        <v>46001</v>
      </c>
      <c r="B230" s="271">
        <v>129.9907</v>
      </c>
      <c r="C230" s="271">
        <v>151.40020000000001</v>
      </c>
      <c r="D230" s="271">
        <v>93.828999999999994</v>
      </c>
      <c r="E230" s="271">
        <v>173.1824</v>
      </c>
      <c r="F230" s="271">
        <v>161.48920000000001</v>
      </c>
      <c r="G230" s="288">
        <v>-1.79211469534146E-4</v>
      </c>
      <c r="H230" s="287">
        <v>3.7927142883575898E-4</v>
      </c>
    </row>
    <row r="231" spans="1:8" ht="15" customHeight="1" x14ac:dyDescent="0.25">
      <c r="A231" s="223">
        <v>46002</v>
      </c>
      <c r="B231" s="265">
        <v>129.7765</v>
      </c>
      <c r="C231" s="265">
        <v>151.79310000000001</v>
      </c>
      <c r="D231" s="265">
        <v>93.898099999999999</v>
      </c>
      <c r="E231" s="265">
        <v>173.5677</v>
      </c>
      <c r="F231" s="265">
        <v>162.23079999999999</v>
      </c>
      <c r="G231" s="289">
        <v>-1.6478101894982201E-3</v>
      </c>
      <c r="H231" s="290">
        <v>2.5951088571878299E-3</v>
      </c>
    </row>
    <row r="232" spans="1:8" ht="15" customHeight="1" x14ac:dyDescent="0.25">
      <c r="A232" s="227">
        <v>46003</v>
      </c>
      <c r="B232" s="271">
        <v>129.5736</v>
      </c>
      <c r="C232" s="271">
        <v>152.08699999999999</v>
      </c>
      <c r="D232" s="271">
        <v>94.142899999999997</v>
      </c>
      <c r="E232" s="271">
        <v>173.41220000000001</v>
      </c>
      <c r="F232" s="271">
        <v>162.98570000000001</v>
      </c>
      <c r="G232" s="288">
        <v>-1.56345717444995E-3</v>
      </c>
      <c r="H232" s="287">
        <v>1.9361881403039401E-3</v>
      </c>
    </row>
    <row r="233" spans="1:8" ht="15" customHeight="1" x14ac:dyDescent="0.25">
      <c r="A233" s="223">
        <v>46006</v>
      </c>
      <c r="B233" s="265">
        <v>129.6027</v>
      </c>
      <c r="C233" s="265">
        <v>152.0564</v>
      </c>
      <c r="D233" s="265">
        <v>94.150400000000005</v>
      </c>
      <c r="E233" s="265">
        <v>173.1962</v>
      </c>
      <c r="F233" s="265">
        <v>162.67449999999999</v>
      </c>
      <c r="G233" s="290">
        <v>2.2458278538217699E-4</v>
      </c>
      <c r="H233" s="289">
        <v>-2.0120062858752799E-4</v>
      </c>
    </row>
    <row r="234" spans="1:8" ht="15" customHeight="1" x14ac:dyDescent="0.25">
      <c r="A234" s="227">
        <v>46007</v>
      </c>
      <c r="B234" s="271">
        <v>129.49260000000001</v>
      </c>
      <c r="C234" s="271">
        <v>152.22499999999999</v>
      </c>
      <c r="D234" s="271">
        <v>94.049899999999994</v>
      </c>
      <c r="E234" s="271">
        <v>173.31540000000001</v>
      </c>
      <c r="F234" s="271">
        <v>162.5873</v>
      </c>
      <c r="G234" s="288">
        <v>-8.4951933871735296E-4</v>
      </c>
      <c r="H234" s="287">
        <v>1.1087991034905999E-3</v>
      </c>
    </row>
    <row r="235" spans="1:8" ht="15" customHeight="1" x14ac:dyDescent="0.25">
      <c r="A235" s="223">
        <v>46008</v>
      </c>
      <c r="B235" s="265">
        <v>129.70689999999999</v>
      </c>
      <c r="C235" s="265">
        <v>151.84790000000001</v>
      </c>
      <c r="D235" s="265">
        <v>94.102999999999994</v>
      </c>
      <c r="E235" s="265">
        <v>172.72380000000001</v>
      </c>
      <c r="F235" s="265">
        <v>162.43819999999999</v>
      </c>
      <c r="G235" s="290">
        <v>1.6549208217302401E-3</v>
      </c>
      <c r="H235" s="289">
        <v>-2.4772540647067802E-3</v>
      </c>
    </row>
    <row r="236" spans="1:8" ht="15" customHeight="1" x14ac:dyDescent="0.25">
      <c r="A236" s="227">
        <v>46009</v>
      </c>
      <c r="B236" s="271">
        <v>129.56209999999999</v>
      </c>
      <c r="C236" s="271">
        <v>152.1189</v>
      </c>
      <c r="D236" s="271">
        <v>94.059399999999997</v>
      </c>
      <c r="E236" s="271">
        <v>173.19980000000001</v>
      </c>
      <c r="F236" s="271">
        <v>162.87909999999999</v>
      </c>
      <c r="G236" s="288">
        <v>-1.1163631233188601E-3</v>
      </c>
      <c r="H236" s="287">
        <v>1.7846805915655601E-3</v>
      </c>
    </row>
    <row r="237" spans="1:8" ht="15" customHeight="1" x14ac:dyDescent="0.25">
      <c r="A237" s="223">
        <v>46010</v>
      </c>
      <c r="B237" s="265">
        <v>129.71850000000001</v>
      </c>
      <c r="C237" s="265">
        <v>151.8485</v>
      </c>
      <c r="D237" s="265">
        <v>94.022800000000004</v>
      </c>
      <c r="E237" s="265">
        <v>173.3741</v>
      </c>
      <c r="F237" s="265">
        <v>163.05520000000001</v>
      </c>
      <c r="G237" s="290">
        <v>1.2071431383098301E-3</v>
      </c>
      <c r="H237" s="289">
        <v>-1.77755689792647E-3</v>
      </c>
    </row>
    <row r="238" spans="1:8" ht="15" customHeight="1" x14ac:dyDescent="0.25">
      <c r="A238" s="227">
        <v>46013</v>
      </c>
      <c r="B238" s="271">
        <v>129.6431</v>
      </c>
      <c r="C238" s="271">
        <v>152.0455</v>
      </c>
      <c r="D238" s="271">
        <v>94.053299999999993</v>
      </c>
      <c r="E238" s="271">
        <v>173.94749999999999</v>
      </c>
      <c r="F238" s="271">
        <v>163.17570000000001</v>
      </c>
      <c r="G238" s="288">
        <v>-5.8125864853508802E-4</v>
      </c>
      <c r="H238" s="287">
        <v>1.2973457097040801E-3</v>
      </c>
    </row>
    <row r="239" spans="1:8" ht="15" customHeight="1" x14ac:dyDescent="0.25">
      <c r="A239" s="223">
        <v>46014</v>
      </c>
      <c r="B239" s="265">
        <v>129.3998</v>
      </c>
      <c r="C239" s="265">
        <v>152.38120000000001</v>
      </c>
      <c r="D239" s="265">
        <v>94.211699999999993</v>
      </c>
      <c r="E239" s="265">
        <v>174.5933</v>
      </c>
      <c r="F239" s="265">
        <v>163.6833</v>
      </c>
      <c r="G239" s="289">
        <v>-1.8766906993121801E-3</v>
      </c>
      <c r="H239" s="290">
        <v>2.2078917166243901E-3</v>
      </c>
    </row>
    <row r="240" spans="1:8" ht="15" customHeight="1" x14ac:dyDescent="0.25">
      <c r="A240" s="227">
        <v>46015</v>
      </c>
      <c r="B240" s="271">
        <v>129.31880000000001</v>
      </c>
      <c r="C240" s="271">
        <v>152.4863</v>
      </c>
      <c r="D240" s="271">
        <v>94.527900000000002</v>
      </c>
      <c r="E240" s="271">
        <v>174.71979999999999</v>
      </c>
      <c r="F240" s="271">
        <v>164.22479999999999</v>
      </c>
      <c r="G240" s="288">
        <v>-6.2596696440020405E-4</v>
      </c>
      <c r="H240" s="287">
        <v>6.8971762920888601E-4</v>
      </c>
    </row>
    <row r="241" spans="1:8" ht="15" customHeight="1" x14ac:dyDescent="0.25">
      <c r="A241" s="223">
        <v>46016</v>
      </c>
      <c r="B241" s="265">
        <v>129.3767</v>
      </c>
      <c r="C241" s="265">
        <v>152.38640000000001</v>
      </c>
      <c r="D241" s="265">
        <v>94.566699999999997</v>
      </c>
      <c r="E241" s="265">
        <v>174.8689</v>
      </c>
      <c r="F241" s="265">
        <v>164.11080000000001</v>
      </c>
      <c r="G241" s="290">
        <v>4.4773072438020201E-4</v>
      </c>
      <c r="H241" s="289">
        <v>-6.5514082248696603E-4</v>
      </c>
    </row>
    <row r="242" spans="1:8" ht="15" customHeight="1" x14ac:dyDescent="0.25">
      <c r="A242" s="227">
        <v>46017</v>
      </c>
      <c r="B242" s="271">
        <v>129.38829999999999</v>
      </c>
      <c r="C242" s="271">
        <v>152.3612</v>
      </c>
      <c r="D242" s="271">
        <v>94.661699999999996</v>
      </c>
      <c r="E242" s="271">
        <v>174.50720000000001</v>
      </c>
      <c r="F242" s="271">
        <v>163.95910000000001</v>
      </c>
      <c r="G242" s="287">
        <v>8.9660657599077695E-5</v>
      </c>
      <c r="H242" s="288">
        <v>-1.65369088055201E-4</v>
      </c>
    </row>
    <row r="243" spans="1:8" ht="15" customHeight="1" x14ac:dyDescent="0.25">
      <c r="A243" s="223">
        <v>46020</v>
      </c>
      <c r="B243" s="265">
        <v>129.4057</v>
      </c>
      <c r="C243" s="265">
        <v>152.3494</v>
      </c>
      <c r="D243" s="265">
        <v>94.556799999999996</v>
      </c>
      <c r="E243" s="265">
        <v>174.54239999999999</v>
      </c>
      <c r="F243" s="265">
        <v>164.02269999999999</v>
      </c>
      <c r="G243" s="290">
        <v>1.34478928929482E-4</v>
      </c>
      <c r="H243" s="289">
        <v>-7.7447539137187604E-5</v>
      </c>
    </row>
    <row r="244" spans="1:8" ht="15" customHeight="1" x14ac:dyDescent="0.25">
      <c r="A244" s="227">
        <v>46021</v>
      </c>
      <c r="B244" s="271">
        <v>129.41720000000001</v>
      </c>
      <c r="C244" s="271">
        <v>152.31110000000001</v>
      </c>
      <c r="D244" s="271">
        <v>94.558300000000003</v>
      </c>
      <c r="E244" s="271">
        <v>174.81729999999999</v>
      </c>
      <c r="F244" s="271">
        <v>163.93340000000001</v>
      </c>
      <c r="G244" s="287">
        <v>8.8867801032011001E-5</v>
      </c>
      <c r="H244" s="288">
        <v>-2.5139580464372802E-4</v>
      </c>
    </row>
    <row r="245" spans="1:8" ht="15" customHeight="1" x14ac:dyDescent="0.25">
      <c r="A245" s="223">
        <v>46022</v>
      </c>
      <c r="B245" s="265">
        <v>129.56790000000001</v>
      </c>
      <c r="C245" s="265">
        <v>152.06739999999999</v>
      </c>
      <c r="D245" s="265">
        <v>94.557900000000004</v>
      </c>
      <c r="E245" s="265">
        <v>174.15039999999999</v>
      </c>
      <c r="F245" s="265">
        <v>163.29689999999999</v>
      </c>
      <c r="G245" s="290">
        <v>1.1644510930541899E-3</v>
      </c>
      <c r="H245" s="289">
        <v>-1.60001470674176E-3</v>
      </c>
    </row>
    <row r="246" spans="1:8" ht="15" customHeight="1" x14ac:dyDescent="0.25">
      <c r="A246" s="227">
        <v>46027</v>
      </c>
      <c r="B246" s="271">
        <v>129.78800000000001</v>
      </c>
      <c r="C246" s="271">
        <v>151.65729999999999</v>
      </c>
      <c r="D246" s="271">
        <v>94.206299999999999</v>
      </c>
      <c r="E246" s="271">
        <v>174.2004</v>
      </c>
      <c r="F246" s="271">
        <v>163.33750000000001</v>
      </c>
      <c r="G246" s="287">
        <v>1.6987232177105901E-3</v>
      </c>
      <c r="H246" s="288">
        <v>-2.6968304843772999E-3</v>
      </c>
    </row>
    <row r="247" spans="1:8" ht="15" customHeight="1" x14ac:dyDescent="0.25">
      <c r="A247" s="223">
        <v>46028</v>
      </c>
      <c r="B247" s="265">
        <v>129.55619999999999</v>
      </c>
      <c r="C247" s="265">
        <v>152.0796</v>
      </c>
      <c r="D247" s="265">
        <v>94.164500000000004</v>
      </c>
      <c r="E247" s="265">
        <v>175.62180000000001</v>
      </c>
      <c r="F247" s="265">
        <v>163.79830000000001</v>
      </c>
      <c r="G247" s="289">
        <v>-1.78598945973452E-3</v>
      </c>
      <c r="H247" s="290">
        <v>2.7845675743931602E-3</v>
      </c>
    </row>
    <row r="248" spans="1:8" ht="15" customHeight="1" x14ac:dyDescent="0.25">
      <c r="A248" s="227">
        <v>46029</v>
      </c>
      <c r="B248" s="271">
        <v>129.7706</v>
      </c>
      <c r="C248" s="271">
        <v>151.66290000000001</v>
      </c>
      <c r="D248" s="271">
        <v>93.8904</v>
      </c>
      <c r="E248" s="271">
        <v>175.18809999999999</v>
      </c>
      <c r="F248" s="271">
        <v>163.0797</v>
      </c>
      <c r="G248" s="287">
        <v>1.65488027589578E-3</v>
      </c>
      <c r="H248" s="288">
        <v>-2.7400124671552702E-3</v>
      </c>
    </row>
    <row r="249" spans="1:8" ht="15" customHeight="1" x14ac:dyDescent="0.25">
      <c r="A249" s="223">
        <v>46030</v>
      </c>
      <c r="B249" s="265">
        <v>129.8228</v>
      </c>
      <c r="C249" s="265">
        <v>151.6525</v>
      </c>
      <c r="D249" s="265">
        <v>93.569400000000002</v>
      </c>
      <c r="E249" s="265">
        <v>174.6808</v>
      </c>
      <c r="F249" s="265">
        <v>162.82810000000001</v>
      </c>
      <c r="G249" s="290">
        <v>4.0224827503299E-4</v>
      </c>
      <c r="H249" s="289">
        <v>-6.8573131596472199E-5</v>
      </c>
    </row>
    <row r="250" spans="1:8" ht="15" customHeight="1" x14ac:dyDescent="0.25">
      <c r="A250" s="227">
        <v>46031</v>
      </c>
      <c r="B250" s="271">
        <v>129.98490000000001</v>
      </c>
      <c r="C250" s="271">
        <v>151.3415</v>
      </c>
      <c r="D250" s="271">
        <v>93.689599999999999</v>
      </c>
      <c r="E250" s="271">
        <v>174.51150000000001</v>
      </c>
      <c r="F250" s="271">
        <v>162.471</v>
      </c>
      <c r="G250" s="287">
        <v>1.2486250489129899E-3</v>
      </c>
      <c r="H250" s="288">
        <v>-2.0507410032806202E-3</v>
      </c>
    </row>
    <row r="251" spans="1:8" ht="15" customHeight="1" x14ac:dyDescent="0.25">
      <c r="A251" s="223">
        <v>46035</v>
      </c>
      <c r="B251" s="265">
        <v>129.91540000000001</v>
      </c>
      <c r="C251" s="265">
        <v>151.5204</v>
      </c>
      <c r="D251" s="265">
        <v>93.609099999999998</v>
      </c>
      <c r="E251" s="265">
        <v>174.9349</v>
      </c>
      <c r="F251" s="265">
        <v>162.9034</v>
      </c>
      <c r="G251" s="289">
        <v>-5.3467748946223203E-4</v>
      </c>
      <c r="H251" s="290">
        <v>1.18209479884901E-3</v>
      </c>
    </row>
    <row r="252" spans="1:8" ht="15" customHeight="1" x14ac:dyDescent="0.25">
      <c r="A252" s="227">
        <v>46036</v>
      </c>
      <c r="B252" s="271">
        <v>129.9966</v>
      </c>
      <c r="C252" s="271">
        <v>151.3681</v>
      </c>
      <c r="D252" s="271">
        <v>93.559799999999996</v>
      </c>
      <c r="E252" s="271">
        <v>174.6797</v>
      </c>
      <c r="F252" s="271">
        <v>162.22200000000001</v>
      </c>
      <c r="G252" s="287">
        <v>6.2502212978587902E-4</v>
      </c>
      <c r="H252" s="288">
        <v>-1.0051451817708599E-3</v>
      </c>
    </row>
    <row r="253" spans="1:8" ht="15" customHeight="1" x14ac:dyDescent="0.25">
      <c r="A253" s="223">
        <v>46037</v>
      </c>
      <c r="B253" s="265">
        <v>130.07759999999999</v>
      </c>
      <c r="C253" s="265">
        <v>151.2543</v>
      </c>
      <c r="D253" s="265">
        <v>93.557500000000005</v>
      </c>
      <c r="E253" s="265">
        <v>174.71809999999999</v>
      </c>
      <c r="F253" s="265">
        <v>162.32310000000001</v>
      </c>
      <c r="G253" s="290">
        <v>6.2309321936093699E-4</v>
      </c>
      <c r="H253" s="289">
        <v>-7.5180966134868999E-4</v>
      </c>
    </row>
    <row r="254" spans="1:8" ht="15" customHeight="1" x14ac:dyDescent="0.25">
      <c r="A254" s="227">
        <v>46038</v>
      </c>
      <c r="B254" s="271">
        <v>130.15299999999999</v>
      </c>
      <c r="C254" s="271">
        <v>151.1337</v>
      </c>
      <c r="D254" s="271">
        <v>93.665599999999998</v>
      </c>
      <c r="E254" s="271">
        <v>174.33930000000001</v>
      </c>
      <c r="F254" s="271">
        <v>162.2148</v>
      </c>
      <c r="G254" s="287">
        <v>5.7965399115600402E-4</v>
      </c>
      <c r="H254" s="288">
        <v>-7.9733270392967604E-4</v>
      </c>
    </row>
    <row r="255" spans="1:8" ht="15" customHeight="1" x14ac:dyDescent="0.25">
      <c r="A255" s="223">
        <v>46041</v>
      </c>
      <c r="B255" s="265">
        <v>130.0718</v>
      </c>
      <c r="C255" s="265">
        <v>151.2345</v>
      </c>
      <c r="D255" s="265">
        <v>93.610500000000002</v>
      </c>
      <c r="E255" s="265">
        <v>174.1722</v>
      </c>
      <c r="F255" s="265">
        <v>162.78309999999999</v>
      </c>
      <c r="G255" s="289">
        <v>-6.2388112452260703E-4</v>
      </c>
      <c r="H255" s="290">
        <v>6.6695912294867398E-4</v>
      </c>
    </row>
    <row r="256" spans="1:8" ht="15" customHeight="1" x14ac:dyDescent="0.25">
      <c r="A256" s="227">
        <v>46042</v>
      </c>
      <c r="B256" s="271">
        <v>129.7996</v>
      </c>
      <c r="C256" s="271">
        <v>151.72280000000001</v>
      </c>
      <c r="D256" s="271">
        <v>93.768900000000002</v>
      </c>
      <c r="E256" s="271">
        <v>174.9203</v>
      </c>
      <c r="F256" s="271">
        <v>163.53739999999999</v>
      </c>
      <c r="G256" s="288">
        <v>-2.0926903448710301E-3</v>
      </c>
      <c r="H256" s="287">
        <v>3.2287606333212299E-3</v>
      </c>
    </row>
    <row r="257" spans="1:8" ht="15" customHeight="1" x14ac:dyDescent="0.25">
      <c r="A257" s="223">
        <v>46043</v>
      </c>
      <c r="B257" s="265">
        <v>129.68960000000001</v>
      </c>
      <c r="C257" s="265">
        <v>151.899</v>
      </c>
      <c r="D257" s="265">
        <v>93.730099999999993</v>
      </c>
      <c r="E257" s="265">
        <v>174.27889999999999</v>
      </c>
      <c r="F257" s="265">
        <v>163.80119999999999</v>
      </c>
      <c r="G257" s="289">
        <v>-8.4746023870629905E-4</v>
      </c>
      <c r="H257" s="290">
        <v>1.16132842262329E-3</v>
      </c>
    </row>
    <row r="258" spans="1:8" ht="15" customHeight="1" x14ac:dyDescent="0.25">
      <c r="A258" s="227">
        <v>46044</v>
      </c>
      <c r="B258" s="271">
        <v>129.78219999999999</v>
      </c>
      <c r="C258" s="271">
        <v>151.72190000000001</v>
      </c>
      <c r="D258" s="271">
        <v>93.898799999999994</v>
      </c>
      <c r="E258" s="271">
        <v>174.34469999999999</v>
      </c>
      <c r="F258" s="271">
        <v>163.37139999999999</v>
      </c>
      <c r="G258" s="287">
        <v>7.1401253454372903E-4</v>
      </c>
      <c r="H258" s="288">
        <v>-1.16590629299729E-3</v>
      </c>
    </row>
    <row r="259" spans="1:8" ht="15" customHeight="1" x14ac:dyDescent="0.25">
      <c r="A259" s="223">
        <v>46045</v>
      </c>
      <c r="B259" s="265">
        <v>129.58529999999999</v>
      </c>
      <c r="C259" s="265">
        <v>152.11369999999999</v>
      </c>
      <c r="D259" s="265">
        <v>93.933099999999996</v>
      </c>
      <c r="E259" s="265">
        <v>174.87899999999999</v>
      </c>
      <c r="F259" s="265">
        <v>163.9802</v>
      </c>
      <c r="G259" s="289">
        <v>-1.5171572064581801E-3</v>
      </c>
      <c r="H259" s="290">
        <v>2.5823562715732201E-3</v>
      </c>
    </row>
    <row r="260" spans="1:8" ht="15" customHeight="1" x14ac:dyDescent="0.25">
      <c r="A260" s="227">
        <v>46048</v>
      </c>
      <c r="B260" s="271">
        <v>129.32169999999999</v>
      </c>
      <c r="C260" s="271">
        <v>152.91</v>
      </c>
      <c r="D260" s="271">
        <v>94.433300000000003</v>
      </c>
      <c r="E260" s="271">
        <v>176.4761</v>
      </c>
      <c r="F260" s="271">
        <v>165.98859999999999</v>
      </c>
      <c r="G260" s="288">
        <v>-2.0341813461866001E-3</v>
      </c>
      <c r="H260" s="287">
        <v>5.2348999465532398E-3</v>
      </c>
    </row>
    <row r="261" spans="1:8" ht="15" customHeight="1" x14ac:dyDescent="0.25">
      <c r="A261" s="223">
        <v>46049</v>
      </c>
      <c r="B261" s="265">
        <v>129.22900000000001</v>
      </c>
      <c r="C261" s="265">
        <v>153.0395</v>
      </c>
      <c r="D261" s="265">
        <v>94.111400000000003</v>
      </c>
      <c r="E261" s="265">
        <v>176.8081</v>
      </c>
      <c r="F261" s="265">
        <v>166.1789</v>
      </c>
      <c r="G261" s="289">
        <v>-7.1681705390491701E-4</v>
      </c>
      <c r="H261" s="290">
        <v>8.4690340723314595E-4</v>
      </c>
    </row>
    <row r="262" spans="1:8" ht="15" customHeight="1" x14ac:dyDescent="0.25">
      <c r="A262" s="227">
        <v>46050</v>
      </c>
      <c r="B262" s="271">
        <v>129.14279999999999</v>
      </c>
      <c r="C262" s="271">
        <v>154.33860000000001</v>
      </c>
      <c r="D262" s="271">
        <v>95.066299999999998</v>
      </c>
      <c r="E262" s="271">
        <v>178.20179999999999</v>
      </c>
      <c r="F262" s="271">
        <v>168.7149</v>
      </c>
      <c r="G262" s="288">
        <v>-6.6703294152259396E-4</v>
      </c>
      <c r="H262" s="287">
        <v>8.4886581568810494E-3</v>
      </c>
    </row>
    <row r="263" spans="1:8" ht="15" customHeight="1" x14ac:dyDescent="0.25">
      <c r="A263" s="223">
        <v>46051</v>
      </c>
      <c r="B263" s="265">
        <v>129.1078</v>
      </c>
      <c r="C263" s="265">
        <v>154.38069999999999</v>
      </c>
      <c r="D263" s="265">
        <v>95.451599999999999</v>
      </c>
      <c r="E263" s="265">
        <v>178.57239999999999</v>
      </c>
      <c r="F263" s="265">
        <v>168.40520000000001</v>
      </c>
      <c r="G263" s="289">
        <v>-2.7101781903438E-4</v>
      </c>
      <c r="H263" s="290">
        <v>2.7277686852134102E-4</v>
      </c>
    </row>
    <row r="264" spans="1:8" ht="15" customHeight="1" x14ac:dyDescent="0.25">
      <c r="A264" s="227">
        <v>46052</v>
      </c>
      <c r="B264" s="271">
        <v>129.20089999999999</v>
      </c>
      <c r="C264" s="271">
        <v>154.22710000000001</v>
      </c>
      <c r="D264" s="271">
        <v>95.644199999999998</v>
      </c>
      <c r="E264" s="271">
        <v>177.96270000000001</v>
      </c>
      <c r="F264" s="271">
        <v>168.37289999999999</v>
      </c>
      <c r="G264" s="287">
        <v>7.2110283034798595E-4</v>
      </c>
      <c r="H264" s="288">
        <v>-9.9494302072722406E-4</v>
      </c>
    </row>
    <row r="265" spans="1:8" ht="15" customHeight="1" x14ac:dyDescent="0.25">
      <c r="A265" s="223">
        <v>46055</v>
      </c>
      <c r="B265" s="265">
        <v>129.5675</v>
      </c>
      <c r="C265" s="265">
        <v>153.60230000000001</v>
      </c>
      <c r="D265" s="265">
        <v>94.907399999999996</v>
      </c>
      <c r="E265" s="265">
        <v>177.2833</v>
      </c>
      <c r="F265" s="265">
        <v>167.57310000000001</v>
      </c>
      <c r="G265" s="290">
        <v>2.8374415348499898E-3</v>
      </c>
      <c r="H265" s="289">
        <v>-4.0511686986268699E-3</v>
      </c>
    </row>
    <row r="266" spans="1:8" ht="15" customHeight="1" x14ac:dyDescent="0.25">
      <c r="A266" s="227">
        <v>46056</v>
      </c>
      <c r="B266" s="271">
        <v>129.74199999999999</v>
      </c>
      <c r="C266" s="271">
        <v>153.28370000000001</v>
      </c>
      <c r="D266" s="271">
        <v>94.986500000000007</v>
      </c>
      <c r="E266" s="271">
        <v>177.68010000000001</v>
      </c>
      <c r="F266" s="271">
        <v>166.8922</v>
      </c>
      <c r="G266" s="287">
        <v>1.3467883535609501E-3</v>
      </c>
      <c r="H266" s="288">
        <v>-2.0741876911999401E-3</v>
      </c>
    </row>
    <row r="267" spans="1:8" ht="15" customHeight="1" x14ac:dyDescent="0.25">
      <c r="A267" s="223">
        <v>46057</v>
      </c>
      <c r="B267" s="265">
        <v>129.68379999999999</v>
      </c>
      <c r="C267" s="265">
        <v>153.4743</v>
      </c>
      <c r="D267" s="265">
        <v>95.1494</v>
      </c>
      <c r="E267" s="265">
        <v>178.06379999999999</v>
      </c>
      <c r="F267" s="265">
        <v>167.13990000000001</v>
      </c>
      <c r="G267" s="289">
        <v>-4.48582571565104E-4</v>
      </c>
      <c r="H267" s="290">
        <v>1.24344597631709E-3</v>
      </c>
    </row>
    <row r="268" spans="1:8" ht="15" customHeight="1" x14ac:dyDescent="0.25">
      <c r="A268" s="227">
        <v>46058</v>
      </c>
      <c r="B268" s="271">
        <v>129.8235</v>
      </c>
      <c r="C268" s="271">
        <v>153.2697</v>
      </c>
      <c r="D268" s="271">
        <v>94.896799999999999</v>
      </c>
      <c r="E268" s="271">
        <v>176.96770000000001</v>
      </c>
      <c r="F268" s="271">
        <v>167.01859999999999</v>
      </c>
      <c r="G268" s="287">
        <v>1.07723555293715E-3</v>
      </c>
      <c r="H268" s="288">
        <v>-1.3331222230692501E-3</v>
      </c>
    </row>
    <row r="269" spans="1:8" ht="15" customHeight="1" x14ac:dyDescent="0.25">
      <c r="A269" s="223">
        <v>46059</v>
      </c>
      <c r="B269" s="265">
        <v>129.88740000000001</v>
      </c>
      <c r="C269" s="265">
        <v>153.15029999999999</v>
      </c>
      <c r="D269" s="265">
        <v>94.881100000000004</v>
      </c>
      <c r="E269" s="265">
        <v>176.2022</v>
      </c>
      <c r="F269" s="265">
        <v>167.047</v>
      </c>
      <c r="G269" s="290">
        <v>4.9220672682537302E-4</v>
      </c>
      <c r="H269" s="289">
        <v>-7.7901894503618096E-4</v>
      </c>
    </row>
    <row r="270" spans="1:8" ht="15" customHeight="1" x14ac:dyDescent="0.25">
      <c r="A270" s="227">
        <v>46062</v>
      </c>
      <c r="B270" s="271">
        <v>129.65479999999999</v>
      </c>
      <c r="C270" s="271">
        <v>153.62799999999999</v>
      </c>
      <c r="D270" s="271">
        <v>95.006100000000004</v>
      </c>
      <c r="E270" s="271">
        <v>176.28120000000001</v>
      </c>
      <c r="F270" s="271">
        <v>167.61009999999999</v>
      </c>
      <c r="G270" s="288">
        <v>-1.7907818618281301E-3</v>
      </c>
      <c r="H270" s="287">
        <v>3.1191581080807201E-3</v>
      </c>
    </row>
    <row r="271" spans="1:8" ht="15" customHeight="1" x14ac:dyDescent="0.25">
      <c r="A271" s="223">
        <v>46063</v>
      </c>
      <c r="B271" s="265">
        <v>129.36959999999999</v>
      </c>
      <c r="C271" s="265">
        <v>154.0275</v>
      </c>
      <c r="D271" s="265">
        <v>95.387799999999999</v>
      </c>
      <c r="E271" s="265">
        <v>176.8432</v>
      </c>
      <c r="F271" s="265">
        <v>168.65870000000001</v>
      </c>
      <c r="G271" s="289">
        <v>-2.1996871693141799E-3</v>
      </c>
      <c r="H271" s="290">
        <v>2.60043742026195E-3</v>
      </c>
    </row>
    <row r="272" spans="1:8" ht="15" customHeight="1" x14ac:dyDescent="0.25">
      <c r="A272" s="227">
        <v>46064</v>
      </c>
      <c r="B272" s="271">
        <v>129.2824</v>
      </c>
      <c r="C272" s="271">
        <v>154.08519999999999</v>
      </c>
      <c r="D272" s="271">
        <v>95.612499999999997</v>
      </c>
      <c r="E272" s="271">
        <v>176.78440000000001</v>
      </c>
      <c r="F272" s="271">
        <v>168.79810000000001</v>
      </c>
      <c r="G272" s="288">
        <v>-6.7403779558716803E-4</v>
      </c>
      <c r="H272" s="287">
        <v>3.7460843031267299E-4</v>
      </c>
    </row>
    <row r="273" spans="1:8" ht="15" customHeight="1" x14ac:dyDescent="0.25">
      <c r="A273" s="223">
        <v>46065</v>
      </c>
      <c r="B273" s="265">
        <v>129.4802</v>
      </c>
      <c r="C273" s="265">
        <v>153.73830000000001</v>
      </c>
      <c r="D273" s="265">
        <v>95.349800000000002</v>
      </c>
      <c r="E273" s="265">
        <v>176.52379999999999</v>
      </c>
      <c r="F273" s="265">
        <v>167.9272</v>
      </c>
      <c r="G273" s="290">
        <v>1.5299839730698E-3</v>
      </c>
      <c r="H273" s="289">
        <v>-2.2513518494961002E-3</v>
      </c>
    </row>
    <row r="274" spans="1:8" ht="15" customHeight="1" x14ac:dyDescent="0.25">
      <c r="A274" s="227">
        <v>46066</v>
      </c>
      <c r="B274" s="271">
        <v>129.54419999999999</v>
      </c>
      <c r="C274" s="271">
        <v>153.62649999999999</v>
      </c>
      <c r="D274" s="271">
        <v>95.106300000000005</v>
      </c>
      <c r="E274" s="271">
        <v>176.4066</v>
      </c>
      <c r="F274" s="271">
        <v>168.11920000000001</v>
      </c>
      <c r="G274" s="287">
        <v>4.94284068143225E-4</v>
      </c>
      <c r="H274" s="288">
        <v>-7.2720981043772304E-4</v>
      </c>
    </row>
    <row r="275" spans="1:8" ht="15" customHeight="1" x14ac:dyDescent="0.25">
      <c r="A275" s="223">
        <v>46069</v>
      </c>
      <c r="B275" s="265">
        <v>129.52670000000001</v>
      </c>
      <c r="C275" s="265">
        <v>153.6317</v>
      </c>
      <c r="D275" s="265">
        <v>95.177199999999999</v>
      </c>
      <c r="E275" s="265">
        <v>176.73179999999999</v>
      </c>
      <c r="F275" s="265">
        <v>168.523</v>
      </c>
      <c r="G275" s="289">
        <v>-1.3508902752867901E-4</v>
      </c>
      <c r="H275" s="290">
        <v>3.3848326948859898E-5</v>
      </c>
    </row>
    <row r="276" spans="1:8" ht="15" customHeight="1" x14ac:dyDescent="0.25">
      <c r="A276" s="227">
        <v>46070</v>
      </c>
      <c r="B276" s="271">
        <v>129.66640000000001</v>
      </c>
      <c r="C276" s="271">
        <v>153.3954</v>
      </c>
      <c r="D276" s="271">
        <v>95.025000000000006</v>
      </c>
      <c r="E276" s="271">
        <v>175.9023</v>
      </c>
      <c r="F276" s="271">
        <v>168.28870000000001</v>
      </c>
      <c r="G276" s="287">
        <v>1.0785421075345501E-3</v>
      </c>
      <c r="H276" s="288">
        <v>-1.53809402616778E-3</v>
      </c>
    </row>
    <row r="277" spans="1:8" ht="15" customHeight="1" x14ac:dyDescent="0.25">
      <c r="A277" s="223">
        <v>46071</v>
      </c>
      <c r="B277" s="265">
        <v>129.66059999999999</v>
      </c>
      <c r="C277" s="265">
        <v>153.46629999999999</v>
      </c>
      <c r="D277" s="265">
        <v>94.916499999999999</v>
      </c>
      <c r="E277" s="265">
        <v>175.8826</v>
      </c>
      <c r="F277" s="265">
        <v>168.10659999999999</v>
      </c>
      <c r="G277" s="289">
        <v>-4.4730169111106798E-5</v>
      </c>
      <c r="H277" s="290">
        <v>4.6220421212095402E-4</v>
      </c>
    </row>
    <row r="278" spans="1:8" ht="15" customHeight="1" x14ac:dyDescent="0.25">
      <c r="A278" s="227">
        <v>46072</v>
      </c>
      <c r="B278" s="271">
        <v>129.8409</v>
      </c>
      <c r="C278" s="271">
        <v>153.19929999999999</v>
      </c>
      <c r="D278" s="271">
        <v>94.874799999999993</v>
      </c>
      <c r="E278" s="271">
        <v>175.3185</v>
      </c>
      <c r="F278" s="271">
        <v>168.0898</v>
      </c>
      <c r="G278" s="287">
        <v>1.3905534911917701E-3</v>
      </c>
      <c r="H278" s="288">
        <v>-1.7397956424308799E-3</v>
      </c>
    </row>
    <row r="279" spans="1:8" ht="15" customHeight="1" x14ac:dyDescent="0.25">
      <c r="A279" s="223">
        <v>46073</v>
      </c>
      <c r="B279" s="265">
        <v>130.0504</v>
      </c>
      <c r="C279" s="265">
        <v>152.83519999999999</v>
      </c>
      <c r="D279" s="265">
        <v>94.944699999999997</v>
      </c>
      <c r="E279" s="265">
        <v>174.86940000000001</v>
      </c>
      <c r="F279" s="265">
        <v>167.55840000000001</v>
      </c>
      <c r="G279" s="290">
        <v>1.6135131534054099E-3</v>
      </c>
      <c r="H279" s="289">
        <v>-2.3766427131195499E-3</v>
      </c>
    </row>
    <row r="280" spans="1:8" ht="15" customHeight="1" x14ac:dyDescent="0.25">
      <c r="A280" s="227">
        <v>46076</v>
      </c>
      <c r="B280" s="271">
        <v>129.74789999999999</v>
      </c>
      <c r="C280" s="271">
        <v>153.41399999999999</v>
      </c>
      <c r="D280" s="271">
        <v>94.914400000000001</v>
      </c>
      <c r="E280" s="271">
        <v>175.45359999999999</v>
      </c>
      <c r="F280" s="271">
        <v>167.94759999999999</v>
      </c>
      <c r="G280" s="288">
        <v>-2.3260212963590599E-3</v>
      </c>
      <c r="H280" s="287">
        <v>3.7870856975357201E-3</v>
      </c>
    </row>
    <row r="281" spans="1:8" ht="15" customHeight="1" x14ac:dyDescent="0.25">
      <c r="A281" s="223">
        <v>46077</v>
      </c>
      <c r="B281" s="265">
        <v>129.93979999999999</v>
      </c>
      <c r="C281" s="265">
        <v>153.0301</v>
      </c>
      <c r="D281" s="265">
        <v>94.822400000000002</v>
      </c>
      <c r="E281" s="265">
        <v>175.12100000000001</v>
      </c>
      <c r="F281" s="265">
        <v>167.5778</v>
      </c>
      <c r="G281" s="290">
        <v>1.4790220111462499E-3</v>
      </c>
      <c r="H281" s="289">
        <v>-2.5023791831252401E-3</v>
      </c>
    </row>
    <row r="282" spans="1:8" ht="15" customHeight="1" x14ac:dyDescent="0.25">
      <c r="A282" s="227">
        <v>46078</v>
      </c>
      <c r="B282" s="271">
        <v>129.87</v>
      </c>
      <c r="C282" s="271">
        <v>153.18170000000001</v>
      </c>
      <c r="D282" s="271">
        <v>94.906499999999994</v>
      </c>
      <c r="E282" s="271">
        <v>175.5712</v>
      </c>
      <c r="F282" s="271">
        <v>167.99690000000001</v>
      </c>
      <c r="G282" s="288">
        <v>-5.3717182880064196E-4</v>
      </c>
      <c r="H282" s="287">
        <v>9.9065477968052207E-4</v>
      </c>
    </row>
    <row r="283" spans="1:8" ht="15" customHeight="1" x14ac:dyDescent="0.25">
      <c r="A283" s="223">
        <v>46079</v>
      </c>
      <c r="B283" s="265">
        <v>129.78280000000001</v>
      </c>
      <c r="C283" s="265">
        <v>153.31899999999999</v>
      </c>
      <c r="D283" s="265">
        <v>94.992000000000004</v>
      </c>
      <c r="E283" s="265">
        <v>175.82169999999999</v>
      </c>
      <c r="F283" s="265">
        <v>168.14510000000001</v>
      </c>
      <c r="G283" s="289">
        <v>-6.7144067144064899E-4</v>
      </c>
      <c r="H283" s="290">
        <v>8.9632116630111703E-4</v>
      </c>
    </row>
    <row r="284" spans="1:8" ht="15" customHeight="1" x14ac:dyDescent="0.25">
      <c r="A284" s="227">
        <v>46080</v>
      </c>
      <c r="B284" s="271">
        <v>129.77699999999999</v>
      </c>
      <c r="C284" s="271">
        <v>153.38999999999999</v>
      </c>
      <c r="D284" s="271">
        <v>94.939099999999996</v>
      </c>
      <c r="E284" s="271">
        <v>175.10220000000001</v>
      </c>
      <c r="F284" s="271">
        <v>167.9418</v>
      </c>
      <c r="G284" s="288">
        <v>-4.4690051378304403E-5</v>
      </c>
      <c r="H284" s="287">
        <v>4.63086766806509E-4</v>
      </c>
    </row>
    <row r="285" spans="1:8" ht="15" customHeight="1" x14ac:dyDescent="0.25">
      <c r="A285" s="223">
        <v>46083</v>
      </c>
      <c r="B285" s="265">
        <v>130.23089999999999</v>
      </c>
      <c r="C285" s="265">
        <v>152.55250000000001</v>
      </c>
      <c r="D285" s="265">
        <v>95.326999999999998</v>
      </c>
      <c r="E285" s="265">
        <v>173.9776</v>
      </c>
      <c r="F285" s="265">
        <v>168.48560000000001</v>
      </c>
      <c r="G285" s="290">
        <v>3.4975380845605501E-3</v>
      </c>
      <c r="H285" s="289">
        <v>-5.4599387182996404E-3</v>
      </c>
    </row>
    <row r="286" spans="1:8" ht="15" customHeight="1" x14ac:dyDescent="0.25">
      <c r="A286" s="227">
        <v>46084</v>
      </c>
      <c r="B286" s="271">
        <v>130.52180000000001</v>
      </c>
      <c r="C286" s="271">
        <v>151.9796</v>
      </c>
      <c r="D286" s="271">
        <v>95.414199999999994</v>
      </c>
      <c r="E286" s="271">
        <v>174.01750000000001</v>
      </c>
      <c r="F286" s="271">
        <v>166.62010000000001</v>
      </c>
      <c r="G286" s="287">
        <v>2.2337248686756799E-3</v>
      </c>
      <c r="H286" s="288">
        <v>-3.7554284590550799E-3</v>
      </c>
    </row>
    <row r="287" spans="1:8" ht="15" customHeight="1" x14ac:dyDescent="0.25">
      <c r="A287" s="223">
        <v>46085</v>
      </c>
      <c r="B287" s="265">
        <v>130.69049999999999</v>
      </c>
      <c r="C287" s="265">
        <v>151.7056</v>
      </c>
      <c r="D287" s="265">
        <v>95.659899999999993</v>
      </c>
      <c r="E287" s="265">
        <v>174.5566</v>
      </c>
      <c r="F287" s="265">
        <v>167.38030000000001</v>
      </c>
      <c r="G287" s="290">
        <v>1.2925043939018301E-3</v>
      </c>
      <c r="H287" s="289">
        <v>-1.80287354355457E-3</v>
      </c>
    </row>
    <row r="288" spans="1:8" ht="15" customHeight="1" x14ac:dyDescent="0.25">
      <c r="A288" s="227">
        <v>46086</v>
      </c>
      <c r="B288" s="271">
        <v>130.7313</v>
      </c>
      <c r="C288" s="271">
        <v>151.583</v>
      </c>
      <c r="D288" s="271">
        <v>95.745800000000003</v>
      </c>
      <c r="E288" s="271">
        <v>174.25040000000001</v>
      </c>
      <c r="F288" s="271">
        <v>167.37899999999999</v>
      </c>
      <c r="G288" s="287">
        <v>3.12187955513466E-4</v>
      </c>
      <c r="H288" s="288">
        <v>-8.0814419507257995E-4</v>
      </c>
    </row>
    <row r="289" spans="1:8" ht="15" customHeight="1" x14ac:dyDescent="0.25">
      <c r="A289" s="223">
        <v>46087</v>
      </c>
      <c r="B289" s="265">
        <v>131.23740000000001</v>
      </c>
      <c r="C289" s="265">
        <v>152.2748</v>
      </c>
      <c r="D289" s="265">
        <v>96.148200000000003</v>
      </c>
      <c r="E289" s="265">
        <v>175.41589999999999</v>
      </c>
      <c r="F289" s="265">
        <v>168.2423</v>
      </c>
      <c r="G289" s="290">
        <v>3.87129937513064E-3</v>
      </c>
      <c r="H289" s="290">
        <v>4.5638363140985102E-3</v>
      </c>
    </row>
    <row r="290" spans="1:8" ht="15" customHeight="1" x14ac:dyDescent="0.25">
      <c r="A290" s="227">
        <v>46090</v>
      </c>
      <c r="B290" s="271">
        <v>131.43610000000001</v>
      </c>
      <c r="C290" s="271">
        <v>151.91390000000001</v>
      </c>
      <c r="D290" s="271">
        <v>96.993700000000004</v>
      </c>
      <c r="E290" s="271">
        <v>175.3768</v>
      </c>
      <c r="F290" s="271">
        <v>168.8434</v>
      </c>
      <c r="G290" s="287">
        <v>1.5140501107153701E-3</v>
      </c>
      <c r="H290" s="288">
        <v>-2.3700572911603602E-3</v>
      </c>
    </row>
    <row r="291" spans="1:8" ht="15" customHeight="1" x14ac:dyDescent="0.25">
      <c r="A291" s="223">
        <v>46091</v>
      </c>
      <c r="B291" s="265">
        <v>131.2398</v>
      </c>
      <c r="C291" s="265">
        <v>152.9272</v>
      </c>
      <c r="D291" s="265">
        <v>96.631299999999996</v>
      </c>
      <c r="E291" s="265">
        <v>176.8254</v>
      </c>
      <c r="F291" s="265">
        <v>169.11259999999999</v>
      </c>
      <c r="G291" s="289">
        <v>-1.49350140486526E-3</v>
      </c>
      <c r="H291" s="290">
        <v>6.6702257002155801E-3</v>
      </c>
    </row>
    <row r="292" spans="1:8" ht="15" customHeight="1" x14ac:dyDescent="0.25">
      <c r="A292" s="227">
        <v>46092</v>
      </c>
      <c r="B292" s="271">
        <v>131.3862</v>
      </c>
      <c r="C292" s="271">
        <v>152.6183</v>
      </c>
      <c r="D292" s="271">
        <v>96.867500000000007</v>
      </c>
      <c r="E292" s="271">
        <v>176.48759999999999</v>
      </c>
      <c r="F292" s="271">
        <v>168.90950000000001</v>
      </c>
      <c r="G292" s="287">
        <v>1.1155152629003201E-3</v>
      </c>
      <c r="H292" s="288">
        <v>-2.0199153584188299E-3</v>
      </c>
    </row>
    <row r="293" spans="1:8" ht="15" customHeight="1" x14ac:dyDescent="0.25">
      <c r="A293" s="223">
        <v>46093</v>
      </c>
      <c r="B293" s="265">
        <v>131.66130000000001</v>
      </c>
      <c r="C293" s="265">
        <v>152.10830000000001</v>
      </c>
      <c r="D293" s="265">
        <v>96.9452</v>
      </c>
      <c r="E293" s="265">
        <v>176.34790000000001</v>
      </c>
      <c r="F293" s="265">
        <v>168.4187</v>
      </c>
      <c r="G293" s="290">
        <v>2.0938272055970302E-3</v>
      </c>
      <c r="H293" s="289">
        <v>-3.3416700356378999E-3</v>
      </c>
    </row>
    <row r="294" spans="1:8" ht="15" customHeight="1" x14ac:dyDescent="0.25">
      <c r="A294" s="227">
        <v>46094</v>
      </c>
      <c r="B294" s="271">
        <v>132.39439999999999</v>
      </c>
      <c r="C294" s="271">
        <v>151.4195</v>
      </c>
      <c r="D294" s="271">
        <v>96.8964</v>
      </c>
      <c r="E294" s="271">
        <v>175.64760000000001</v>
      </c>
      <c r="F294" s="271">
        <v>167.76840000000001</v>
      </c>
      <c r="G294" s="287">
        <v>5.56807505318546E-3</v>
      </c>
      <c r="H294" s="288">
        <v>-4.5283524962149704E-3</v>
      </c>
    </row>
    <row r="295" spans="1:8" ht="15" customHeight="1" x14ac:dyDescent="0.25">
      <c r="A295" s="223">
        <v>46097</v>
      </c>
      <c r="B295" s="265">
        <v>132.47640000000001</v>
      </c>
      <c r="C295" s="265">
        <v>151.36099999999999</v>
      </c>
      <c r="D295" s="265">
        <v>96.645200000000003</v>
      </c>
      <c r="E295" s="265">
        <v>175.44220000000001</v>
      </c>
      <c r="F295" s="265">
        <v>167.3845</v>
      </c>
      <c r="G295" s="290">
        <v>6.1936154399289101E-4</v>
      </c>
      <c r="H295" s="289">
        <v>-3.8634389890346299E-4</v>
      </c>
    </row>
    <row r="296" spans="1:8" ht="15" customHeight="1" x14ac:dyDescent="0.25">
      <c r="A296" s="227">
        <v>46098</v>
      </c>
      <c r="B296" s="271">
        <v>132.1541</v>
      </c>
      <c r="C296" s="271">
        <v>151.9178</v>
      </c>
      <c r="D296" s="271">
        <v>96.536900000000003</v>
      </c>
      <c r="E296" s="271">
        <v>175.87719999999999</v>
      </c>
      <c r="F296" s="271">
        <v>167.74019999999999</v>
      </c>
      <c r="G296" s="288">
        <v>-2.4328861593462302E-3</v>
      </c>
      <c r="H296" s="287">
        <v>3.6786226306644298E-3</v>
      </c>
    </row>
    <row r="297" spans="1:8" ht="15" customHeight="1" x14ac:dyDescent="0.25">
      <c r="A297" s="223">
        <v>46099</v>
      </c>
      <c r="B297" s="265">
        <v>132.0076</v>
      </c>
      <c r="C297" s="265">
        <v>152.17179999999999</v>
      </c>
      <c r="D297" s="265">
        <v>96.268100000000004</v>
      </c>
      <c r="E297" s="265">
        <v>176.23339999999999</v>
      </c>
      <c r="F297" s="265">
        <v>167.87389999999999</v>
      </c>
      <c r="G297" s="289">
        <v>-1.1085543316476901E-3</v>
      </c>
      <c r="H297" s="290">
        <v>1.6719568082213E-3</v>
      </c>
    </row>
    <row r="298" spans="1:8" ht="15" customHeight="1" x14ac:dyDescent="0.25">
      <c r="A298" s="227">
        <v>46100</v>
      </c>
      <c r="B298" s="271">
        <v>132.33590000000001</v>
      </c>
      <c r="C298" s="271">
        <v>151.58420000000001</v>
      </c>
      <c r="D298" s="271">
        <v>96.3459</v>
      </c>
      <c r="E298" s="271">
        <v>175.43039999999999</v>
      </c>
      <c r="F298" s="271">
        <v>166.90110000000001</v>
      </c>
      <c r="G298" s="287">
        <v>2.4869780224776599E-3</v>
      </c>
      <c r="H298" s="288">
        <v>-3.86142504721621E-3</v>
      </c>
    </row>
    <row r="299" spans="1:8" ht="15" customHeight="1" x14ac:dyDescent="0.25">
      <c r="A299" s="223">
        <v>46104</v>
      </c>
      <c r="B299" s="265">
        <v>132.4419</v>
      </c>
      <c r="C299" s="265">
        <v>152.79820000000001</v>
      </c>
      <c r="D299" s="265">
        <v>96.461699999999993</v>
      </c>
      <c r="E299" s="265">
        <v>176.16640000000001</v>
      </c>
      <c r="F299" s="265">
        <v>167.89240000000001</v>
      </c>
      <c r="G299" s="290">
        <v>8.0099202106143096E-4</v>
      </c>
      <c r="H299" s="290">
        <v>8.0087502523349396E-3</v>
      </c>
    </row>
    <row r="300" spans="1:8" ht="15" customHeight="1" x14ac:dyDescent="0.25">
      <c r="A300" s="227">
        <v>46105</v>
      </c>
      <c r="B300" s="271">
        <v>132.292</v>
      </c>
      <c r="C300" s="271">
        <v>153.41239999999999</v>
      </c>
      <c r="D300" s="271">
        <v>96.226399999999998</v>
      </c>
      <c r="E300" s="271">
        <v>177.44220000000001</v>
      </c>
      <c r="F300" s="271">
        <v>168.06460000000001</v>
      </c>
      <c r="G300" s="288">
        <v>-1.1318170458141099E-3</v>
      </c>
      <c r="H300" s="287">
        <v>4.0196808601147297E-3</v>
      </c>
    </row>
    <row r="301" spans="1:8" ht="15" customHeight="1" x14ac:dyDescent="0.25">
      <c r="A301" s="223">
        <v>46106</v>
      </c>
      <c r="B301" s="265">
        <v>132.3493</v>
      </c>
      <c r="C301" s="265">
        <v>153.56489999999999</v>
      </c>
      <c r="D301" s="265">
        <v>96.030600000000007</v>
      </c>
      <c r="E301" s="265">
        <v>177.45959999999999</v>
      </c>
      <c r="F301" s="265">
        <v>167.5626</v>
      </c>
      <c r="G301" s="290">
        <v>4.3313276690959402E-4</v>
      </c>
      <c r="H301" s="290">
        <v>9.9405263199070504E-4</v>
      </c>
    </row>
    <row r="302" spans="1:8" ht="15" customHeight="1" x14ac:dyDescent="0.25">
      <c r="A302" s="227">
        <v>46107</v>
      </c>
      <c r="B302" s="271">
        <v>132.60839999999999</v>
      </c>
      <c r="C302" s="271">
        <v>153.15610000000001</v>
      </c>
      <c r="D302" s="271">
        <v>95.863799999999998</v>
      </c>
      <c r="E302" s="271">
        <v>176.90559999999999</v>
      </c>
      <c r="F302" s="271">
        <v>167.31870000000001</v>
      </c>
      <c r="G302" s="287">
        <v>1.9576983028999398E-3</v>
      </c>
      <c r="H302" s="288">
        <v>-2.6620666571591802E-3</v>
      </c>
    </row>
    <row r="303" spans="1:8" ht="15" customHeight="1" x14ac:dyDescent="0.25">
      <c r="A303" s="223">
        <v>46108</v>
      </c>
      <c r="B303" s="265">
        <v>132.97540000000001</v>
      </c>
      <c r="C303" s="265">
        <v>153.17439999999999</v>
      </c>
      <c r="D303" s="265">
        <v>95.997299999999996</v>
      </c>
      <c r="E303" s="265">
        <v>177.05269999999999</v>
      </c>
      <c r="F303" s="265">
        <v>166.97069999999999</v>
      </c>
      <c r="G303" s="290">
        <v>2.7675471538757298E-3</v>
      </c>
      <c r="H303" s="290">
        <v>1.19485936244113E-4</v>
      </c>
    </row>
    <row r="304" spans="1:8" ht="15" customHeight="1" x14ac:dyDescent="0.25">
      <c r="A304" s="227">
        <v>46111</v>
      </c>
      <c r="B304" s="271">
        <v>133.0933</v>
      </c>
      <c r="C304" s="271">
        <v>152.9974</v>
      </c>
      <c r="D304" s="271">
        <v>95.685199999999995</v>
      </c>
      <c r="E304" s="271">
        <v>176.2826</v>
      </c>
      <c r="F304" s="271">
        <v>166.39789999999999</v>
      </c>
      <c r="G304" s="287">
        <v>8.8663015866097305E-4</v>
      </c>
      <c r="H304" s="288">
        <v>-1.1555455741951699E-3</v>
      </c>
    </row>
    <row r="305" spans="1:8" ht="15" customHeight="1" x14ac:dyDescent="0.25">
      <c r="A305" s="223">
        <v>46112</v>
      </c>
      <c r="B305" s="265">
        <v>133.22909999999999</v>
      </c>
      <c r="C305" s="265">
        <v>152.81379999999999</v>
      </c>
      <c r="D305" s="265">
        <v>95.583600000000004</v>
      </c>
      <c r="E305" s="265">
        <v>175.97300000000001</v>
      </c>
      <c r="F305" s="265">
        <v>166.52600000000001</v>
      </c>
      <c r="G305" s="290">
        <v>1.02033686143477E-3</v>
      </c>
      <c r="H305" s="289">
        <v>-1.2000203925034399E-3</v>
      </c>
    </row>
    <row r="306" spans="1:8" ht="15" customHeight="1" x14ac:dyDescent="0.25">
      <c r="A306" s="227">
        <v>46113</v>
      </c>
      <c r="B306" s="271">
        <v>132.72749999999999</v>
      </c>
      <c r="C306" s="271">
        <v>153.67189999999999</v>
      </c>
      <c r="D306" s="271">
        <v>95.422200000000004</v>
      </c>
      <c r="E306" s="271">
        <v>176.03120000000001</v>
      </c>
      <c r="F306" s="271">
        <v>167.0369</v>
      </c>
      <c r="G306" s="288">
        <v>-3.7649432443812602E-3</v>
      </c>
      <c r="H306" s="287">
        <v>5.61533055260721E-3</v>
      </c>
    </row>
    <row r="307" spans="1:8" ht="15" customHeight="1" x14ac:dyDescent="0.25">
      <c r="A307" s="223">
        <v>46114</v>
      </c>
      <c r="B307" s="265">
        <v>132.92230000000001</v>
      </c>
      <c r="C307" s="265">
        <v>153.286</v>
      </c>
      <c r="D307" s="265">
        <v>95.514200000000002</v>
      </c>
      <c r="E307" s="265">
        <v>175.66050000000001</v>
      </c>
      <c r="F307" s="265">
        <v>166.3296</v>
      </c>
      <c r="G307" s="290">
        <v>1.4676687197454599E-3</v>
      </c>
      <c r="H307" s="289">
        <v>-2.5111943042286401E-3</v>
      </c>
    </row>
    <row r="308" spans="1:8" ht="15" customHeight="1" x14ac:dyDescent="0.25">
      <c r="A308" s="227">
        <v>46115</v>
      </c>
      <c r="B308" s="271">
        <v>132.89859999999999</v>
      </c>
      <c r="C308" s="271">
        <v>153.38489999999999</v>
      </c>
      <c r="D308" s="271">
        <v>95.456000000000003</v>
      </c>
      <c r="E308" s="271">
        <v>175.88489999999999</v>
      </c>
      <c r="F308" s="271">
        <v>166.5292</v>
      </c>
      <c r="G308" s="288">
        <v>-1.7829965325621999E-4</v>
      </c>
      <c r="H308" s="287">
        <v>6.4519917017857897E-4</v>
      </c>
    </row>
    <row r="309" spans="1:8" ht="15" customHeight="1" x14ac:dyDescent="0.25">
      <c r="A309" s="223">
        <v>46118</v>
      </c>
      <c r="B309" s="265">
        <v>132.8338</v>
      </c>
      <c r="C309" s="265">
        <v>153.52940000000001</v>
      </c>
      <c r="D309" s="265">
        <v>95.412899999999993</v>
      </c>
      <c r="E309" s="265">
        <v>175.9855</v>
      </c>
      <c r="F309" s="265">
        <v>166.58369999999999</v>
      </c>
      <c r="G309" s="289">
        <v>-4.8758978649876599E-4</v>
      </c>
      <c r="H309" s="290">
        <v>9.4207448060412702E-4</v>
      </c>
    </row>
    <row r="310" spans="1:8" ht="15" customHeight="1" x14ac:dyDescent="0.25">
      <c r="A310" s="227">
        <v>46119</v>
      </c>
      <c r="B310" s="271">
        <v>132.816</v>
      </c>
      <c r="C310" s="271">
        <v>153.52869999999999</v>
      </c>
      <c r="D310" s="271">
        <v>95.406899999999993</v>
      </c>
      <c r="E310" s="271">
        <v>175.90360000000001</v>
      </c>
      <c r="F310" s="271">
        <v>166.18620000000001</v>
      </c>
      <c r="G310" s="288">
        <v>-1.3400203863767101E-4</v>
      </c>
      <c r="H310" s="288">
        <v>-4.5593873226890099E-6</v>
      </c>
    </row>
    <row r="311" spans="1:8" ht="15" customHeight="1" x14ac:dyDescent="0.25">
      <c r="A311" s="223">
        <v>46120</v>
      </c>
      <c r="B311" s="265">
        <v>132.2201</v>
      </c>
      <c r="C311" s="265">
        <v>154.55869999999999</v>
      </c>
      <c r="D311" s="265">
        <v>95.469300000000004</v>
      </c>
      <c r="E311" s="265">
        <v>177.4648</v>
      </c>
      <c r="F311" s="265">
        <v>167.82400000000001</v>
      </c>
      <c r="G311" s="289">
        <v>-4.4866582339476704E-3</v>
      </c>
      <c r="H311" s="290">
        <v>6.7088433628370598E-3</v>
      </c>
    </row>
    <row r="312" spans="1:8" ht="15" customHeight="1" x14ac:dyDescent="0.25">
      <c r="A312" s="227">
        <v>46121</v>
      </c>
      <c r="B312" s="271">
        <v>132.35</v>
      </c>
      <c r="C312" s="271">
        <v>154.32679999999999</v>
      </c>
      <c r="D312" s="271">
        <v>95.518199999999993</v>
      </c>
      <c r="E312" s="271">
        <v>177.21100000000001</v>
      </c>
      <c r="F312" s="271">
        <v>167.3305</v>
      </c>
      <c r="G312" s="287">
        <v>9.8245274356911793E-4</v>
      </c>
      <c r="H312" s="288">
        <v>-1.5004008185885999E-3</v>
      </c>
    </row>
    <row r="313" spans="1:8" ht="15" customHeight="1" x14ac:dyDescent="0.25">
      <c r="A313" s="223">
        <v>46122</v>
      </c>
      <c r="B313" s="265">
        <v>132.2261</v>
      </c>
      <c r="C313" s="265">
        <v>154.5128</v>
      </c>
      <c r="D313" s="265">
        <v>95.552899999999994</v>
      </c>
      <c r="E313" s="265">
        <v>177.46090000000001</v>
      </c>
      <c r="F313" s="265">
        <v>167.33250000000001</v>
      </c>
      <c r="G313" s="289">
        <v>-9.3615413675851599E-4</v>
      </c>
      <c r="H313" s="290">
        <v>1.20523460604383E-3</v>
      </c>
    </row>
    <row r="314" spans="1:8" ht="15" customHeight="1" x14ac:dyDescent="0.25">
      <c r="A314" s="227">
        <v>46125</v>
      </c>
      <c r="B314" s="271">
        <v>132.19659999999999</v>
      </c>
      <c r="C314" s="271">
        <v>154.5643</v>
      </c>
      <c r="D314" s="271">
        <v>95.4833</v>
      </c>
      <c r="E314" s="271">
        <v>177.46889999999999</v>
      </c>
      <c r="F314" s="271">
        <v>167.274</v>
      </c>
      <c r="G314" s="288">
        <v>-2.2310270060155201E-4</v>
      </c>
      <c r="H314" s="287">
        <v>3.3330571965550798E-4</v>
      </c>
    </row>
    <row r="315" spans="1:8" ht="15" customHeight="1" x14ac:dyDescent="0.25">
      <c r="A315" s="223">
        <v>46126</v>
      </c>
      <c r="B315" s="265">
        <v>132.12530000000001</v>
      </c>
      <c r="C315" s="265">
        <v>155.56440000000001</v>
      </c>
      <c r="D315" s="265">
        <v>95.958500000000001</v>
      </c>
      <c r="E315" s="265">
        <v>178.81360000000001</v>
      </c>
      <c r="F315" s="265">
        <v>169.16370000000001</v>
      </c>
      <c r="G315" s="289">
        <v>-5.3934821319145997E-4</v>
      </c>
      <c r="H315" s="290">
        <v>6.4704462802860404E-3</v>
      </c>
    </row>
    <row r="316" spans="1:8" ht="15" customHeight="1" x14ac:dyDescent="0.25">
      <c r="A316" s="227">
        <v>46127</v>
      </c>
      <c r="B316" s="271">
        <v>132.11109999999999</v>
      </c>
      <c r="C316" s="271">
        <v>155.55430000000001</v>
      </c>
      <c r="D316" s="271">
        <v>95.955200000000005</v>
      </c>
      <c r="E316" s="271">
        <v>179.14590000000001</v>
      </c>
      <c r="F316" s="271">
        <v>169.178</v>
      </c>
      <c r="G316" s="288">
        <v>-1.07473738943376E-4</v>
      </c>
      <c r="H316" s="288">
        <v>-6.4924879985328601E-5</v>
      </c>
    </row>
    <row r="317" spans="1:8" ht="15" customHeight="1" x14ac:dyDescent="0.25">
      <c r="A317" s="223">
        <v>46128</v>
      </c>
      <c r="B317" s="265">
        <v>132.13480000000001</v>
      </c>
      <c r="C317" s="265">
        <v>155.52269999999999</v>
      </c>
      <c r="D317" s="265">
        <v>96.280100000000004</v>
      </c>
      <c r="E317" s="265">
        <v>179.16589999999999</v>
      </c>
      <c r="F317" s="265">
        <v>168.97030000000001</v>
      </c>
      <c r="G317" s="290">
        <v>1.79394464204785E-4</v>
      </c>
      <c r="H317" s="289">
        <v>-2.0314449680936E-4</v>
      </c>
    </row>
    <row r="318" spans="1:8" ht="15" customHeight="1" x14ac:dyDescent="0.25">
      <c r="A318" s="227">
        <v>46129</v>
      </c>
      <c r="B318" s="271">
        <v>132.08750000000001</v>
      </c>
      <c r="C318" s="271">
        <v>155.6387</v>
      </c>
      <c r="D318" s="271">
        <v>96.587000000000003</v>
      </c>
      <c r="E318" s="271">
        <v>178.6053</v>
      </c>
      <c r="F318" s="271">
        <v>168.62950000000001</v>
      </c>
      <c r="G318" s="288">
        <v>-3.57967772305345E-4</v>
      </c>
      <c r="H318" s="287">
        <v>7.4587182449903399E-4</v>
      </c>
    </row>
    <row r="319" spans="1:8" ht="15" customHeight="1" x14ac:dyDescent="0.25">
      <c r="A319" s="223">
        <v>46132</v>
      </c>
      <c r="B319" s="265">
        <v>132.1763</v>
      </c>
      <c r="C319" s="265">
        <v>155.38650000000001</v>
      </c>
      <c r="D319" s="265">
        <v>96.517799999999994</v>
      </c>
      <c r="E319" s="265">
        <v>178.4478</v>
      </c>
      <c r="F319" s="265">
        <v>168.90469999999999</v>
      </c>
      <c r="G319" s="290">
        <v>6.7228163149413199E-4</v>
      </c>
      <c r="H319" s="289">
        <v>-1.62041960000947E-3</v>
      </c>
    </row>
    <row r="320" spans="1:8" ht="15" customHeight="1" x14ac:dyDescent="0.25">
      <c r="A320" s="227">
        <v>46133</v>
      </c>
      <c r="B320" s="271">
        <v>132.18209999999999</v>
      </c>
      <c r="C320" s="271">
        <v>155.38669999999999</v>
      </c>
      <c r="D320" s="271">
        <v>96.811899999999994</v>
      </c>
      <c r="E320" s="271">
        <v>178.60040000000001</v>
      </c>
      <c r="F320" s="271">
        <v>169.60560000000001</v>
      </c>
      <c r="G320" s="287">
        <v>4.3880786494865403E-5</v>
      </c>
      <c r="H320" s="287">
        <v>1.28711310165564E-6</v>
      </c>
    </row>
    <row r="321" spans="1:8" ht="15" customHeight="1" x14ac:dyDescent="0.25">
      <c r="A321" s="223">
        <v>46134</v>
      </c>
      <c r="B321" s="265">
        <v>132.2011</v>
      </c>
      <c r="C321" s="265">
        <v>155.3297</v>
      </c>
      <c r="D321" s="265">
        <v>96.818700000000007</v>
      </c>
      <c r="E321" s="265">
        <v>178.78299999999999</v>
      </c>
      <c r="F321" s="265">
        <v>169.52119999999999</v>
      </c>
      <c r="G321" s="290">
        <v>1.4374109656300999E-4</v>
      </c>
      <c r="H321" s="289">
        <v>-3.6682676187849199E-4</v>
      </c>
    </row>
    <row r="322" spans="1:8" ht="15" customHeight="1" x14ac:dyDescent="0.25">
      <c r="A322" s="227">
        <v>46135</v>
      </c>
      <c r="B322" s="271">
        <v>132.40799999999999</v>
      </c>
      <c r="C322" s="271">
        <v>154.97030000000001</v>
      </c>
      <c r="D322" s="271">
        <v>96.881600000000006</v>
      </c>
      <c r="E322" s="271">
        <v>178.59190000000001</v>
      </c>
      <c r="F322" s="271">
        <v>168.76939999999999</v>
      </c>
      <c r="G322" s="287">
        <v>1.56503992780688E-3</v>
      </c>
      <c r="H322" s="288">
        <v>-2.31378802637228E-3</v>
      </c>
    </row>
    <row r="323" spans="1:8" ht="15" customHeight="1" x14ac:dyDescent="0.25">
      <c r="A323" s="223">
        <v>46136</v>
      </c>
      <c r="B323" s="265">
        <v>132.5027</v>
      </c>
      <c r="C323" s="265">
        <v>154.81620000000001</v>
      </c>
      <c r="D323" s="265">
        <v>96.7209</v>
      </c>
      <c r="E323" s="265">
        <v>178.51499999999999</v>
      </c>
      <c r="F323" s="265">
        <v>168.3964</v>
      </c>
      <c r="G323" s="290">
        <v>7.1521358226101005E-4</v>
      </c>
      <c r="H323" s="289">
        <v>-9.9438408520857702E-4</v>
      </c>
    </row>
    <row r="324" spans="1:8" ht="15" customHeight="1" x14ac:dyDescent="0.25">
      <c r="A324" s="227">
        <v>46139</v>
      </c>
      <c r="B324" s="271">
        <v>132.2353</v>
      </c>
      <c r="C324" s="271">
        <v>155.3038</v>
      </c>
      <c r="D324" s="271">
        <v>97.0428</v>
      </c>
      <c r="E324" s="271">
        <v>179.13210000000001</v>
      </c>
      <c r="F324" s="271">
        <v>168.62450000000001</v>
      </c>
      <c r="G324" s="288">
        <v>-2.01807208456895E-3</v>
      </c>
      <c r="H324" s="287">
        <v>3.1495411978848002E-3</v>
      </c>
    </row>
    <row r="325" spans="1:8" ht="15" customHeight="1" x14ac:dyDescent="0.25">
      <c r="A325" s="223">
        <v>46140</v>
      </c>
      <c r="B325" s="265">
        <v>132.44239999999999</v>
      </c>
      <c r="C325" s="265">
        <v>154.8914</v>
      </c>
      <c r="D325" s="265">
        <v>97.109200000000001</v>
      </c>
      <c r="E325" s="265">
        <v>178.90369999999999</v>
      </c>
      <c r="F325" s="265">
        <v>167.80789999999999</v>
      </c>
      <c r="G325" s="290">
        <v>1.56614761716423E-3</v>
      </c>
      <c r="H325" s="289">
        <v>-2.6554404979143298E-3</v>
      </c>
    </row>
    <row r="326" spans="1:8" ht="15" customHeight="1" x14ac:dyDescent="0.25">
      <c r="A326" s="227">
        <v>46141</v>
      </c>
      <c r="B326" s="271">
        <v>132.43639999999999</v>
      </c>
      <c r="C326" s="271">
        <v>154.94399999999999</v>
      </c>
      <c r="D326" s="271">
        <v>96.817400000000006</v>
      </c>
      <c r="E326" s="271">
        <v>178.79900000000001</v>
      </c>
      <c r="F326" s="271">
        <v>167.78970000000001</v>
      </c>
      <c r="G326" s="288">
        <v>-4.5302712726402698E-5</v>
      </c>
      <c r="H326" s="287">
        <v>3.3959277274253603E-4</v>
      </c>
    </row>
    <row r="327" spans="1:8" ht="15" customHeight="1" x14ac:dyDescent="0.25">
      <c r="A327" s="223">
        <v>46142</v>
      </c>
      <c r="B327" s="265">
        <v>132.5429</v>
      </c>
      <c r="C327" s="265">
        <v>154.7637</v>
      </c>
      <c r="D327" s="265">
        <v>96.976699999999994</v>
      </c>
      <c r="E327" s="265">
        <v>178.9066</v>
      </c>
      <c r="F327" s="265">
        <v>167.9992</v>
      </c>
      <c r="G327" s="290">
        <v>8.0415958150492595E-4</v>
      </c>
      <c r="H327" s="289">
        <v>-1.16364622056997E-3</v>
      </c>
    </row>
    <row r="328" spans="1:8" ht="15" customHeight="1" x14ac:dyDescent="0.25">
      <c r="A328" s="227">
        <v>46143</v>
      </c>
      <c r="B328" s="271">
        <v>132.5429</v>
      </c>
      <c r="C328" s="271">
        <v>154.7637</v>
      </c>
      <c r="D328" s="271">
        <v>96.976699999999994</v>
      </c>
      <c r="E328" s="271">
        <v>178.9066</v>
      </c>
      <c r="F328" s="271">
        <v>167.9992</v>
      </c>
      <c r="G328" s="229" t="s">
        <v>18</v>
      </c>
      <c r="H328" s="229" t="s">
        <v>18</v>
      </c>
    </row>
    <row r="329" spans="1:8" ht="15" customHeight="1" x14ac:dyDescent="0.25">
      <c r="A329" s="223">
        <v>46146</v>
      </c>
      <c r="B329" s="265">
        <v>132.31819999999999</v>
      </c>
      <c r="C329" s="265">
        <v>155.01079999999999</v>
      </c>
      <c r="D329" s="265">
        <v>97.242800000000003</v>
      </c>
      <c r="E329" s="265">
        <v>179.48759999999999</v>
      </c>
      <c r="F329" s="265">
        <v>168.9888</v>
      </c>
      <c r="G329" s="289">
        <v>-1.6953001631925301E-3</v>
      </c>
      <c r="H329" s="290">
        <v>1.59662763296553E-3</v>
      </c>
    </row>
    <row r="330" spans="1:8" ht="15" customHeight="1" x14ac:dyDescent="0.25">
      <c r="A330" s="227">
        <v>46147</v>
      </c>
      <c r="B330" s="271">
        <v>132.40090000000001</v>
      </c>
      <c r="C330" s="271">
        <v>154.84950000000001</v>
      </c>
      <c r="D330" s="271">
        <v>97.260599999999997</v>
      </c>
      <c r="E330" s="271">
        <v>179.405</v>
      </c>
      <c r="F330" s="271">
        <v>169.1052</v>
      </c>
      <c r="G330" s="287">
        <v>6.2500850223190497E-4</v>
      </c>
      <c r="H330" s="288">
        <v>-1.04057265687285E-3</v>
      </c>
    </row>
    <row r="331" spans="1:8" ht="15" customHeight="1" x14ac:dyDescent="0.25">
      <c r="A331" s="223">
        <v>46148</v>
      </c>
      <c r="B331" s="265">
        <v>132.20580000000001</v>
      </c>
      <c r="C331" s="265">
        <v>155.16999999999999</v>
      </c>
      <c r="D331" s="265">
        <v>97.263800000000003</v>
      </c>
      <c r="E331" s="265">
        <v>179.774</v>
      </c>
      <c r="F331" s="265">
        <v>169.4838</v>
      </c>
      <c r="G331" s="289">
        <v>-1.4735549380706699E-3</v>
      </c>
      <c r="H331" s="290">
        <v>2.06975159751877E-3</v>
      </c>
    </row>
    <row r="332" spans="1:8" ht="15" customHeight="1" x14ac:dyDescent="0.25">
      <c r="A332" s="227">
        <v>46149</v>
      </c>
      <c r="B332" s="271">
        <v>132.11709999999999</v>
      </c>
      <c r="C332" s="271">
        <v>155.38300000000001</v>
      </c>
      <c r="D332" s="271">
        <v>96.959599999999995</v>
      </c>
      <c r="E332" s="271">
        <v>179.9348</v>
      </c>
      <c r="F332" s="271">
        <v>169.8818</v>
      </c>
      <c r="G332" s="288">
        <v>-6.7092366598153796E-4</v>
      </c>
      <c r="H332" s="287">
        <v>1.3726880195914499E-3</v>
      </c>
    </row>
    <row r="333" spans="1:8" ht="15" customHeight="1" x14ac:dyDescent="0.25">
      <c r="A333" s="223">
        <v>46150</v>
      </c>
      <c r="B333" s="265">
        <v>132.19399999999999</v>
      </c>
      <c r="C333" s="265">
        <v>155.27510000000001</v>
      </c>
      <c r="D333" s="265">
        <v>96.785200000000003</v>
      </c>
      <c r="E333" s="265">
        <v>179.5992</v>
      </c>
      <c r="F333" s="265">
        <v>169.68620000000001</v>
      </c>
      <c r="G333" s="290">
        <v>5.8205940033495595E-4</v>
      </c>
      <c r="H333" s="289">
        <v>-6.9441315974072603E-4</v>
      </c>
    </row>
    <row r="334" spans="1:8" ht="15" customHeight="1" x14ac:dyDescent="0.25">
      <c r="A334" s="227">
        <v>46153</v>
      </c>
      <c r="B334" s="271">
        <v>132.0521</v>
      </c>
      <c r="C334" s="271">
        <v>155.55080000000001</v>
      </c>
      <c r="D334" s="271">
        <v>96.596400000000003</v>
      </c>
      <c r="E334" s="271">
        <v>179.7484</v>
      </c>
      <c r="F334" s="271">
        <v>169.7765</v>
      </c>
      <c r="G334" s="288">
        <v>-1.0734223943596999E-3</v>
      </c>
      <c r="H334" s="287">
        <v>1.7755583477325799E-3</v>
      </c>
    </row>
    <row r="335" spans="1:8" ht="15" customHeight="1" x14ac:dyDescent="0.25">
      <c r="A335" s="223">
        <v>46154</v>
      </c>
      <c r="B335" s="265">
        <v>132.21170000000001</v>
      </c>
      <c r="C335" s="265">
        <v>155.29589999999999</v>
      </c>
      <c r="D335" s="265">
        <v>96.473200000000006</v>
      </c>
      <c r="E335" s="265">
        <v>178.68860000000001</v>
      </c>
      <c r="F335" s="265">
        <v>169.32849999999999</v>
      </c>
      <c r="G335" s="290">
        <v>1.2086138728577599E-3</v>
      </c>
      <c r="H335" s="289">
        <v>-1.63869295432761E-3</v>
      </c>
    </row>
    <row r="336" spans="1:8" ht="15" customHeight="1" x14ac:dyDescent="0.25">
      <c r="A336" s="227">
        <v>46155</v>
      </c>
      <c r="B336" s="271">
        <v>132.37139999999999</v>
      </c>
      <c r="C336" s="271">
        <v>154.98050000000001</v>
      </c>
      <c r="D336" s="271">
        <v>96.582700000000003</v>
      </c>
      <c r="E336" s="271">
        <v>178.98920000000001</v>
      </c>
      <c r="F336" s="271">
        <v>169.34870000000001</v>
      </c>
      <c r="G336" s="287">
        <v>1.2079112514247199E-3</v>
      </c>
      <c r="H336" s="288">
        <v>-2.03096153858529E-3</v>
      </c>
    </row>
    <row r="337" spans="1:8" ht="15" customHeight="1" x14ac:dyDescent="0.25">
      <c r="A337" s="223">
        <v>46156</v>
      </c>
      <c r="B337" s="265">
        <v>132.3595</v>
      </c>
      <c r="C337" s="265">
        <v>155.04589999999999</v>
      </c>
      <c r="D337" s="265">
        <v>96.542400000000001</v>
      </c>
      <c r="E337" s="265">
        <v>178.9126</v>
      </c>
      <c r="F337" s="265">
        <v>169.30099999999999</v>
      </c>
      <c r="G337" s="289">
        <v>-8.9898573256696993E-5</v>
      </c>
      <c r="H337" s="290">
        <v>4.2198857275588302E-4</v>
      </c>
    </row>
    <row r="338" spans="1:8" ht="15" customHeight="1" x14ac:dyDescent="0.25">
      <c r="A338" s="227">
        <v>46157</v>
      </c>
      <c r="B338" s="271">
        <v>132.7321</v>
      </c>
      <c r="C338" s="271">
        <v>154.44049999999999</v>
      </c>
      <c r="D338" s="271">
        <v>96.532399999999996</v>
      </c>
      <c r="E338" s="271">
        <v>177.30709999999999</v>
      </c>
      <c r="F338" s="271">
        <v>168.97790000000001</v>
      </c>
      <c r="G338" s="287">
        <v>2.8150604981131999E-3</v>
      </c>
      <c r="H338" s="288">
        <v>-3.90465017133634E-3</v>
      </c>
    </row>
    <row r="339" spans="1:8" ht="15" customHeight="1" x14ac:dyDescent="0.25">
      <c r="A339" s="223">
        <v>46160</v>
      </c>
      <c r="B339" s="265">
        <v>132.77940000000001</v>
      </c>
      <c r="C339" s="265">
        <v>154.42240000000001</v>
      </c>
      <c r="D339" s="265">
        <v>96.598500000000001</v>
      </c>
      <c r="E339" s="265">
        <v>177.29929999999999</v>
      </c>
      <c r="F339" s="265">
        <v>169.08109999999999</v>
      </c>
      <c r="G339" s="290">
        <v>3.5635690236213201E-4</v>
      </c>
      <c r="H339" s="289">
        <v>-1.17197237771038E-4</v>
      </c>
    </row>
    <row r="340" spans="1:8" ht="15" customHeight="1" x14ac:dyDescent="0.25">
      <c r="A340" s="227">
        <v>46161</v>
      </c>
      <c r="B340" s="271">
        <v>132.738</v>
      </c>
      <c r="C340" s="271">
        <v>154.44069999999999</v>
      </c>
      <c r="D340" s="271">
        <v>96.571899999999999</v>
      </c>
      <c r="E340" s="271">
        <v>177.95689999999999</v>
      </c>
      <c r="F340" s="271">
        <v>169.03919999999999</v>
      </c>
      <c r="G340" s="288">
        <v>-3.1179535379743901E-4</v>
      </c>
      <c r="H340" s="287">
        <v>1.18506123463869E-4</v>
      </c>
    </row>
    <row r="341" spans="1:8" ht="15" customHeight="1" x14ac:dyDescent="0.25">
      <c r="A341" s="223">
        <v>46162</v>
      </c>
      <c r="B341" s="265">
        <v>132.9332</v>
      </c>
      <c r="C341" s="265">
        <v>154.10290000000001</v>
      </c>
      <c r="D341" s="265">
        <v>96.527799999999999</v>
      </c>
      <c r="E341" s="265">
        <v>178.00380000000001</v>
      </c>
      <c r="F341" s="265">
        <v>168.1635</v>
      </c>
      <c r="G341" s="290">
        <v>1.4705660775362599E-3</v>
      </c>
      <c r="H341" s="289">
        <v>-2.1872472735489099E-3</v>
      </c>
    </row>
    <row r="342" spans="1:8" ht="15" customHeight="1" x14ac:dyDescent="0.25">
      <c r="A342" s="227">
        <v>46163</v>
      </c>
      <c r="B342" s="271">
        <v>132.8681</v>
      </c>
      <c r="C342" s="271">
        <v>154.17349999999999</v>
      </c>
      <c r="D342" s="271">
        <v>96.47</v>
      </c>
      <c r="E342" s="271">
        <v>178.38239999999999</v>
      </c>
      <c r="F342" s="271">
        <v>168.6679</v>
      </c>
      <c r="G342" s="288">
        <v>-4.89719648665621E-4</v>
      </c>
      <c r="H342" s="287">
        <v>4.5813544066963802E-4</v>
      </c>
    </row>
    <row r="343" spans="1:8" ht="15" customHeight="1" x14ac:dyDescent="0.25">
      <c r="A343" s="223">
        <v>46164</v>
      </c>
      <c r="B343" s="265">
        <v>132.874</v>
      </c>
      <c r="C343" s="265">
        <v>154.21360000000001</v>
      </c>
      <c r="D343" s="265">
        <v>96.344899999999996</v>
      </c>
      <c r="E343" s="265">
        <v>178.3664</v>
      </c>
      <c r="F343" s="265">
        <v>168.9864</v>
      </c>
      <c r="G343" s="290">
        <v>4.4404939936626399E-5</v>
      </c>
      <c r="H343" s="290">
        <v>2.6009657950321101E-4</v>
      </c>
    </row>
    <row r="344" spans="1:8" ht="15" customHeight="1" x14ac:dyDescent="0.25">
      <c r="A344" s="227">
        <v>46167</v>
      </c>
      <c r="B344" s="271">
        <v>133.13499999999999</v>
      </c>
      <c r="C344" s="271">
        <v>154.86930000000001</v>
      </c>
      <c r="D344" s="271">
        <v>96.359499999999997</v>
      </c>
      <c r="E344" s="271">
        <v>179.4393</v>
      </c>
      <c r="F344" s="271">
        <v>170.21680000000001</v>
      </c>
      <c r="G344" s="287">
        <v>1.9642668994686E-3</v>
      </c>
      <c r="H344" s="287">
        <v>4.2518947745204799E-3</v>
      </c>
    </row>
    <row r="345" spans="1:8" ht="15" customHeight="1" x14ac:dyDescent="0.25">
      <c r="A345" s="223">
        <v>46168</v>
      </c>
      <c r="B345" s="265">
        <v>133.1054</v>
      </c>
      <c r="C345" s="265">
        <v>154.91470000000001</v>
      </c>
      <c r="D345" s="265">
        <v>96.428799999999995</v>
      </c>
      <c r="E345" s="265">
        <v>179.32689999999999</v>
      </c>
      <c r="F345" s="265">
        <v>169.6799</v>
      </c>
      <c r="G345" s="289">
        <v>-2.2233071694133201E-4</v>
      </c>
      <c r="H345" s="290">
        <v>2.9315041780386702E-4</v>
      </c>
    </row>
  </sheetData>
  <mergeCells count="7">
    <mergeCell ref="A15:I15"/>
    <mergeCell ref="A2:I2"/>
    <mergeCell ref="A37:I37"/>
    <mergeCell ref="A1:I1"/>
    <mergeCell ref="A3:I3"/>
    <mergeCell ref="A12:I12"/>
    <mergeCell ref="A4:I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81"/>
  <sheetViews>
    <sheetView showGridLines="0" tabSelected="1" zoomScaleNormal="100" workbookViewId="0">
      <selection sqref="A1:AA1"/>
    </sheetView>
  </sheetViews>
  <sheetFormatPr defaultColWidth="8.7109375" defaultRowHeight="15" x14ac:dyDescent="0.25"/>
  <cols>
    <col min="1" max="1" width="8" customWidth="1"/>
    <col min="2" max="2" width="14" customWidth="1"/>
    <col min="3" max="6" width="12" customWidth="1"/>
    <col min="7" max="7" width="17" bestFit="1" customWidth="1"/>
    <col min="8" max="8" width="17.7109375" bestFit="1" customWidth="1"/>
    <col min="9" max="9" width="12" customWidth="1"/>
    <col min="10" max="10" width="14.7109375" bestFit="1" customWidth="1"/>
    <col min="11" max="15" width="12" customWidth="1"/>
    <col min="16" max="16" width="14.7109375" bestFit="1" customWidth="1"/>
    <col min="17" max="18" width="12" customWidth="1"/>
    <col min="19" max="19" width="12.5703125" bestFit="1" customWidth="1"/>
    <col min="20" max="27" width="12" customWidth="1"/>
  </cols>
  <sheetData>
    <row r="1" spans="1:27" ht="37.5" customHeight="1" x14ac:dyDescent="0.25">
      <c r="A1" s="340" t="s">
        <v>554</v>
      </c>
      <c r="B1" s="341"/>
      <c r="C1" s="341"/>
      <c r="D1" s="341"/>
      <c r="E1" s="341"/>
      <c r="F1" s="341"/>
      <c r="G1" s="341"/>
      <c r="H1" s="341"/>
      <c r="I1" s="341"/>
      <c r="J1" s="341"/>
      <c r="K1" s="341"/>
      <c r="L1" s="341"/>
      <c r="M1" s="341"/>
      <c r="N1" s="341"/>
      <c r="O1" s="341"/>
      <c r="P1" s="341"/>
      <c r="Q1" s="341"/>
      <c r="R1" s="341"/>
      <c r="S1" s="341"/>
      <c r="T1" s="341"/>
      <c r="U1" s="341"/>
      <c r="V1" s="341"/>
      <c r="W1" s="341"/>
      <c r="X1" s="341"/>
      <c r="Y1" s="341"/>
      <c r="Z1" s="341"/>
      <c r="AA1" s="341"/>
    </row>
    <row r="2" spans="1:27" ht="19.5" customHeight="1" x14ac:dyDescent="0.25">
      <c r="A2" s="342" t="s">
        <v>555</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row>
    <row r="3" spans="1:27" ht="9.75" customHeight="1" x14ac:dyDescent="0.25">
      <c r="A3" s="343"/>
      <c r="B3" s="341"/>
      <c r="C3" s="341"/>
      <c r="D3" s="341"/>
      <c r="E3" s="341"/>
      <c r="F3" s="341"/>
      <c r="G3" s="341"/>
      <c r="H3" s="341"/>
      <c r="I3" s="341"/>
      <c r="J3" s="341"/>
      <c r="K3" s="341"/>
      <c r="L3" s="341"/>
      <c r="M3" s="341"/>
      <c r="N3" s="341"/>
      <c r="O3" s="341"/>
      <c r="P3" s="341"/>
      <c r="Q3" s="341"/>
      <c r="R3" s="341"/>
      <c r="S3" s="341"/>
      <c r="T3" s="341"/>
      <c r="U3" s="341"/>
      <c r="V3" s="341"/>
      <c r="W3" s="341"/>
      <c r="X3" s="341"/>
      <c r="Y3" s="341"/>
      <c r="Z3" s="341"/>
      <c r="AA3" s="341"/>
    </row>
    <row r="4" spans="1:27" ht="24" customHeight="1" x14ac:dyDescent="0.25">
      <c r="A4" s="345" t="s">
        <v>556</v>
      </c>
      <c r="B4" s="341"/>
      <c r="C4" s="341"/>
      <c r="D4" s="341"/>
      <c r="E4" s="341"/>
      <c r="F4" s="341"/>
      <c r="G4" s="341"/>
      <c r="H4" s="341"/>
      <c r="I4" s="341"/>
      <c r="J4" s="341"/>
      <c r="K4" s="341"/>
      <c r="L4" s="341"/>
      <c r="M4" s="341"/>
      <c r="N4" s="341"/>
      <c r="O4" s="341"/>
      <c r="P4" s="341"/>
      <c r="Q4" s="341"/>
      <c r="R4" s="341"/>
      <c r="S4" s="341"/>
      <c r="T4" s="341"/>
      <c r="U4" s="341"/>
      <c r="V4" s="341"/>
      <c r="W4" s="341"/>
      <c r="X4" s="341"/>
      <c r="Y4" s="341"/>
      <c r="Z4" s="341"/>
      <c r="AA4" s="341"/>
    </row>
    <row r="5" spans="1:27" ht="30" customHeight="1" x14ac:dyDescent="0.25">
      <c r="A5" s="2" t="s">
        <v>26</v>
      </c>
      <c r="B5" s="2" t="s">
        <v>27</v>
      </c>
      <c r="C5" s="2" t="s">
        <v>465</v>
      </c>
      <c r="D5" s="2" t="s">
        <v>557</v>
      </c>
      <c r="E5" s="2" t="s">
        <v>558</v>
      </c>
      <c r="F5" s="2" t="s">
        <v>559</v>
      </c>
      <c r="G5" s="2" t="s">
        <v>560</v>
      </c>
      <c r="H5" s="2" t="s">
        <v>561</v>
      </c>
      <c r="I5" s="2" t="s">
        <v>562</v>
      </c>
      <c r="J5" s="2" t="s">
        <v>563</v>
      </c>
      <c r="K5" s="2" t="s">
        <v>564</v>
      </c>
    </row>
    <row r="6" spans="1:27" ht="21.75" customHeight="1" x14ac:dyDescent="0.25">
      <c r="A6" s="58" t="s">
        <v>33</v>
      </c>
      <c r="B6" s="59" t="s">
        <v>34</v>
      </c>
      <c r="C6" s="59" t="s">
        <v>12</v>
      </c>
      <c r="D6" s="291">
        <v>38</v>
      </c>
      <c r="E6" s="292">
        <v>0.60317460317460314</v>
      </c>
      <c r="F6" s="293">
        <v>316060</v>
      </c>
      <c r="G6" s="60">
        <v>108166241</v>
      </c>
      <c r="H6" s="60">
        <v>2846480.0263157901</v>
      </c>
      <c r="I6" s="293">
        <v>64</v>
      </c>
      <c r="J6" s="294">
        <v>1.6842105263157889</v>
      </c>
      <c r="K6" s="295">
        <v>342.23325001581981</v>
      </c>
    </row>
    <row r="7" spans="1:27" ht="21.75" customHeight="1" x14ac:dyDescent="0.25">
      <c r="A7" s="296" t="s">
        <v>37</v>
      </c>
      <c r="B7" s="297" t="s">
        <v>38</v>
      </c>
      <c r="C7" s="297" t="s">
        <v>16</v>
      </c>
      <c r="D7" s="298">
        <v>3</v>
      </c>
      <c r="E7" s="299">
        <v>4.7619047619047623E-2</v>
      </c>
      <c r="F7" s="300">
        <v>520</v>
      </c>
      <c r="G7" s="301">
        <v>187200</v>
      </c>
      <c r="H7" s="301">
        <v>62400</v>
      </c>
      <c r="I7" s="300">
        <v>3</v>
      </c>
      <c r="J7" s="302">
        <v>1</v>
      </c>
      <c r="K7" s="303">
        <v>360</v>
      </c>
    </row>
    <row r="8" spans="1:27" ht="21.75" customHeight="1" x14ac:dyDescent="0.25">
      <c r="A8" s="304" t="s">
        <v>39</v>
      </c>
      <c r="B8" s="192" t="s">
        <v>40</v>
      </c>
      <c r="C8" s="192" t="s">
        <v>14</v>
      </c>
      <c r="D8" s="305">
        <v>47</v>
      </c>
      <c r="E8" s="306">
        <v>0.74603174603174605</v>
      </c>
      <c r="F8" s="307">
        <v>664585</v>
      </c>
      <c r="G8" s="308">
        <v>929598302</v>
      </c>
      <c r="H8" s="308">
        <v>19778687.276595749</v>
      </c>
      <c r="I8" s="307">
        <v>793</v>
      </c>
      <c r="J8" s="309">
        <v>16.87234042553191</v>
      </c>
      <c r="K8" s="310">
        <v>1398.7650970154309</v>
      </c>
    </row>
    <row r="9" spans="1:27" ht="21.75" customHeight="1" x14ac:dyDescent="0.25">
      <c r="A9" s="165" t="s">
        <v>43</v>
      </c>
      <c r="B9" s="59" t="s">
        <v>44</v>
      </c>
      <c r="C9" s="59" t="s">
        <v>15</v>
      </c>
      <c r="D9" s="291">
        <v>19</v>
      </c>
      <c r="E9" s="292">
        <v>0.30158730158730163</v>
      </c>
      <c r="F9" s="293">
        <v>32692</v>
      </c>
      <c r="G9" s="60">
        <v>81987424</v>
      </c>
      <c r="H9" s="60">
        <v>4315127.5789473681</v>
      </c>
      <c r="I9" s="293">
        <v>35</v>
      </c>
      <c r="J9" s="294">
        <v>1.8421052631578949</v>
      </c>
      <c r="K9" s="295">
        <v>2507.8742199926592</v>
      </c>
    </row>
    <row r="10" spans="1:27" ht="21.75" customHeight="1" x14ac:dyDescent="0.25">
      <c r="A10" s="311" t="s">
        <v>47</v>
      </c>
      <c r="B10" s="192" t="s">
        <v>48</v>
      </c>
      <c r="C10" s="192" t="s">
        <v>14</v>
      </c>
      <c r="D10" s="305">
        <v>61</v>
      </c>
      <c r="E10" s="306">
        <v>0.96825396825396826</v>
      </c>
      <c r="F10" s="307">
        <v>700965</v>
      </c>
      <c r="G10" s="308">
        <v>1513523597</v>
      </c>
      <c r="H10" s="308">
        <v>24811862.245901641</v>
      </c>
      <c r="I10" s="307">
        <v>1188</v>
      </c>
      <c r="J10" s="309">
        <v>19.47540983606557</v>
      </c>
      <c r="K10" s="310">
        <v>2159.1999557752529</v>
      </c>
    </row>
    <row r="11" spans="1:27" ht="21.75" customHeight="1" x14ac:dyDescent="0.25">
      <c r="A11" s="73" t="s">
        <v>49</v>
      </c>
      <c r="B11" s="59" t="s">
        <v>50</v>
      </c>
      <c r="C11" s="59" t="s">
        <v>15</v>
      </c>
      <c r="D11" s="291">
        <v>14</v>
      </c>
      <c r="E11" s="292">
        <v>0.22222222222222221</v>
      </c>
      <c r="F11" s="293">
        <v>7131</v>
      </c>
      <c r="G11" s="60">
        <v>3031070</v>
      </c>
      <c r="H11" s="60">
        <v>216505</v>
      </c>
      <c r="I11" s="293">
        <v>23</v>
      </c>
      <c r="J11" s="294">
        <v>1.642857142857143</v>
      </c>
      <c r="K11" s="295">
        <v>425.05539195063812</v>
      </c>
    </row>
    <row r="12" spans="1:27" ht="21.75" customHeight="1" x14ac:dyDescent="0.25">
      <c r="A12" s="312" t="s">
        <v>60</v>
      </c>
      <c r="B12" s="297" t="s">
        <v>61</v>
      </c>
      <c r="C12" s="297" t="s">
        <v>13</v>
      </c>
      <c r="D12" s="298">
        <v>0</v>
      </c>
      <c r="E12" s="299">
        <v>0</v>
      </c>
      <c r="F12" s="300">
        <v>0</v>
      </c>
      <c r="G12" s="301">
        <v>0</v>
      </c>
      <c r="H12" s="301">
        <v>0</v>
      </c>
      <c r="I12" s="300">
        <v>0</v>
      </c>
      <c r="J12" s="302">
        <v>0</v>
      </c>
      <c r="K12" s="303" t="s">
        <v>546</v>
      </c>
    </row>
    <row r="13" spans="1:27" ht="21.75" customHeight="1" x14ac:dyDescent="0.25">
      <c r="A13" s="313" t="s">
        <v>62</v>
      </c>
      <c r="B13" s="59" t="s">
        <v>63</v>
      </c>
      <c r="C13" s="59" t="s">
        <v>17</v>
      </c>
      <c r="D13" s="291">
        <v>13</v>
      </c>
      <c r="E13" s="292">
        <v>0.20634920634920631</v>
      </c>
      <c r="F13" s="293">
        <v>2797</v>
      </c>
      <c r="G13" s="60">
        <v>2196560</v>
      </c>
      <c r="H13" s="60">
        <v>168966.15384615379</v>
      </c>
      <c r="I13" s="293">
        <v>13</v>
      </c>
      <c r="J13" s="294">
        <v>1</v>
      </c>
      <c r="K13" s="295">
        <v>785.32713621737571</v>
      </c>
    </row>
    <row r="17" spans="1:27" ht="24" customHeight="1" x14ac:dyDescent="0.25">
      <c r="A17" s="345" t="s">
        <v>565</v>
      </c>
      <c r="B17" s="341"/>
      <c r="C17" s="341"/>
      <c r="D17" s="341"/>
      <c r="E17" s="341"/>
      <c r="F17" s="341"/>
      <c r="G17" s="341"/>
      <c r="H17" s="341"/>
      <c r="I17" s="341"/>
      <c r="J17" s="341"/>
      <c r="K17" s="341"/>
      <c r="L17" s="341"/>
      <c r="M17" s="341"/>
      <c r="N17" s="341"/>
      <c r="O17" s="341"/>
      <c r="P17" s="341"/>
      <c r="Q17" s="341"/>
      <c r="R17" s="341"/>
      <c r="S17" s="341"/>
      <c r="T17" s="341"/>
      <c r="U17" s="341"/>
      <c r="V17" s="341"/>
      <c r="W17" s="341"/>
      <c r="X17" s="341"/>
      <c r="Y17" s="341"/>
      <c r="Z17" s="341"/>
      <c r="AA17" s="341"/>
    </row>
    <row r="18" spans="1:27" ht="30" customHeight="1" x14ac:dyDescent="0.25">
      <c r="A18" s="1" t="s">
        <v>566</v>
      </c>
      <c r="B18" s="1" t="s">
        <v>2</v>
      </c>
      <c r="C18" s="2" t="s">
        <v>567</v>
      </c>
      <c r="D18" s="2" t="s">
        <v>568</v>
      </c>
      <c r="E18" s="2" t="s">
        <v>569</v>
      </c>
      <c r="F18" s="2" t="s">
        <v>570</v>
      </c>
      <c r="G18" s="2" t="s">
        <v>571</v>
      </c>
      <c r="H18" s="2" t="s">
        <v>572</v>
      </c>
      <c r="I18" s="2" t="s">
        <v>573</v>
      </c>
      <c r="J18" s="2" t="s">
        <v>574</v>
      </c>
      <c r="K18" s="2" t="s">
        <v>575</v>
      </c>
      <c r="L18" s="2" t="s">
        <v>576</v>
      </c>
      <c r="M18" s="2" t="s">
        <v>577</v>
      </c>
      <c r="N18" s="2" t="s">
        <v>578</v>
      </c>
      <c r="O18" s="2" t="s">
        <v>579</v>
      </c>
      <c r="P18" s="2" t="s">
        <v>580</v>
      </c>
      <c r="Q18" s="2" t="s">
        <v>581</v>
      </c>
      <c r="R18" s="2" t="s">
        <v>582</v>
      </c>
      <c r="S18" s="2" t="s">
        <v>583</v>
      </c>
      <c r="T18" s="2" t="s">
        <v>584</v>
      </c>
      <c r="U18" s="2" t="s">
        <v>585</v>
      </c>
      <c r="V18" s="2" t="s">
        <v>586</v>
      </c>
      <c r="W18" s="2" t="s">
        <v>587</v>
      </c>
      <c r="X18" s="2" t="s">
        <v>588</v>
      </c>
      <c r="Y18" s="2" t="s">
        <v>589</v>
      </c>
      <c r="Z18" s="2" t="s">
        <v>590</v>
      </c>
    </row>
    <row r="19" spans="1:27" ht="18" customHeight="1" x14ac:dyDescent="0.25">
      <c r="A19" s="314">
        <v>3</v>
      </c>
      <c r="B19" s="315">
        <v>46028</v>
      </c>
      <c r="C19" s="316">
        <v>18687</v>
      </c>
      <c r="D19" s="316">
        <v>6166710</v>
      </c>
      <c r="E19" s="316">
        <v>1</v>
      </c>
      <c r="F19" s="316" t="s">
        <v>18</v>
      </c>
      <c r="G19" s="316" t="s">
        <v>18</v>
      </c>
      <c r="H19" s="316" t="s">
        <v>18</v>
      </c>
      <c r="I19" s="317" t="s">
        <v>18</v>
      </c>
      <c r="J19" s="318" t="s">
        <v>18</v>
      </c>
      <c r="K19" s="317" t="s">
        <v>18</v>
      </c>
      <c r="L19" s="316" t="s">
        <v>18</v>
      </c>
      <c r="M19" s="316" t="s">
        <v>18</v>
      </c>
      <c r="N19" s="316" t="s">
        <v>18</v>
      </c>
      <c r="O19" s="317">
        <v>9006</v>
      </c>
      <c r="P19" s="318">
        <v>20713800</v>
      </c>
      <c r="Q19" s="317">
        <v>19</v>
      </c>
      <c r="R19" s="317" t="s">
        <v>18</v>
      </c>
      <c r="S19" s="318" t="s">
        <v>18</v>
      </c>
      <c r="T19" s="317" t="s">
        <v>18</v>
      </c>
      <c r="U19" s="316" t="s">
        <v>18</v>
      </c>
      <c r="V19" s="316" t="s">
        <v>18</v>
      </c>
      <c r="W19" s="316" t="s">
        <v>18</v>
      </c>
      <c r="X19" s="316">
        <v>100</v>
      </c>
      <c r="Y19" s="316">
        <v>80000</v>
      </c>
      <c r="Z19" s="316">
        <v>1</v>
      </c>
    </row>
    <row r="20" spans="1:27" ht="18" customHeight="1" x14ac:dyDescent="0.25">
      <c r="A20" s="314">
        <v>4</v>
      </c>
      <c r="B20" s="315">
        <v>46030</v>
      </c>
      <c r="C20" s="316">
        <v>1077</v>
      </c>
      <c r="D20" s="316">
        <v>355410</v>
      </c>
      <c r="E20" s="316">
        <v>2</v>
      </c>
      <c r="F20" s="316" t="s">
        <v>18</v>
      </c>
      <c r="G20" s="316" t="s">
        <v>18</v>
      </c>
      <c r="H20" s="316" t="s">
        <v>18</v>
      </c>
      <c r="I20" s="317" t="s">
        <v>18</v>
      </c>
      <c r="J20" s="318" t="s">
        <v>18</v>
      </c>
      <c r="K20" s="317" t="s">
        <v>18</v>
      </c>
      <c r="L20" s="316">
        <v>80</v>
      </c>
      <c r="M20" s="316">
        <v>200080</v>
      </c>
      <c r="N20" s="316">
        <v>1</v>
      </c>
      <c r="O20" s="317">
        <v>9006</v>
      </c>
      <c r="P20" s="318">
        <v>20704794</v>
      </c>
      <c r="Q20" s="317">
        <v>19</v>
      </c>
      <c r="R20" s="317">
        <v>20</v>
      </c>
      <c r="S20" s="318">
        <v>8400</v>
      </c>
      <c r="T20" s="317">
        <v>1</v>
      </c>
      <c r="U20" s="316" t="s">
        <v>18</v>
      </c>
      <c r="V20" s="316" t="s">
        <v>18</v>
      </c>
      <c r="W20" s="316" t="s">
        <v>18</v>
      </c>
      <c r="X20" s="316" t="s">
        <v>18</v>
      </c>
      <c r="Y20" s="316" t="s">
        <v>18</v>
      </c>
      <c r="Z20" s="316" t="s">
        <v>18</v>
      </c>
    </row>
    <row r="21" spans="1:27" ht="18" customHeight="1" x14ac:dyDescent="0.25">
      <c r="A21" s="314">
        <v>5</v>
      </c>
      <c r="B21" s="315">
        <v>46033</v>
      </c>
      <c r="C21" s="316">
        <v>22602</v>
      </c>
      <c r="D21" s="316">
        <v>7458660</v>
      </c>
      <c r="E21" s="316">
        <v>3</v>
      </c>
      <c r="F21" s="316" t="s">
        <v>18</v>
      </c>
      <c r="G21" s="316" t="s">
        <v>18</v>
      </c>
      <c r="H21" s="316" t="s">
        <v>18</v>
      </c>
      <c r="I21" s="317" t="s">
        <v>18</v>
      </c>
      <c r="J21" s="318" t="s">
        <v>18</v>
      </c>
      <c r="K21" s="317" t="s">
        <v>18</v>
      </c>
      <c r="L21" s="316" t="s">
        <v>18</v>
      </c>
      <c r="M21" s="316" t="s">
        <v>18</v>
      </c>
      <c r="N21" s="316" t="s">
        <v>18</v>
      </c>
      <c r="O21" s="317">
        <v>9006</v>
      </c>
      <c r="P21" s="318">
        <v>20704794</v>
      </c>
      <c r="Q21" s="317">
        <v>5</v>
      </c>
      <c r="R21" s="317">
        <v>100</v>
      </c>
      <c r="S21" s="318">
        <v>42000</v>
      </c>
      <c r="T21" s="317">
        <v>1</v>
      </c>
      <c r="U21" s="316" t="s">
        <v>18</v>
      </c>
      <c r="V21" s="316" t="s">
        <v>18</v>
      </c>
      <c r="W21" s="316" t="s">
        <v>18</v>
      </c>
      <c r="X21" s="316">
        <v>100</v>
      </c>
      <c r="Y21" s="316">
        <v>80000</v>
      </c>
      <c r="Z21" s="316">
        <v>1</v>
      </c>
    </row>
    <row r="22" spans="1:27" ht="18" customHeight="1" x14ac:dyDescent="0.25">
      <c r="A22" s="314">
        <v>7</v>
      </c>
      <c r="B22" s="315">
        <v>46035</v>
      </c>
      <c r="C22" s="316">
        <v>12398</v>
      </c>
      <c r="D22" s="316">
        <v>4091340</v>
      </c>
      <c r="E22" s="316">
        <v>1</v>
      </c>
      <c r="F22" s="316" t="s">
        <v>18</v>
      </c>
      <c r="G22" s="316" t="s">
        <v>18</v>
      </c>
      <c r="H22" s="316" t="s">
        <v>18</v>
      </c>
      <c r="I22" s="317">
        <v>18075</v>
      </c>
      <c r="J22" s="318">
        <v>25305000</v>
      </c>
      <c r="K22" s="317">
        <v>24</v>
      </c>
      <c r="L22" s="316" t="s">
        <v>18</v>
      </c>
      <c r="M22" s="316" t="s">
        <v>18</v>
      </c>
      <c r="N22" s="316" t="s">
        <v>18</v>
      </c>
      <c r="O22" s="317">
        <v>9006</v>
      </c>
      <c r="P22" s="318">
        <v>20686782</v>
      </c>
      <c r="Q22" s="317">
        <v>16</v>
      </c>
      <c r="R22" s="317">
        <v>2590</v>
      </c>
      <c r="S22" s="318">
        <v>1087800</v>
      </c>
      <c r="T22" s="317">
        <v>4</v>
      </c>
      <c r="U22" s="316" t="s">
        <v>18</v>
      </c>
      <c r="V22" s="316" t="s">
        <v>18</v>
      </c>
      <c r="W22" s="316" t="s">
        <v>18</v>
      </c>
      <c r="X22" s="316">
        <v>100</v>
      </c>
      <c r="Y22" s="316">
        <v>80000</v>
      </c>
      <c r="Z22" s="316">
        <v>1</v>
      </c>
    </row>
    <row r="23" spans="1:27" ht="18" customHeight="1" x14ac:dyDescent="0.25">
      <c r="A23" s="314">
        <v>8</v>
      </c>
      <c r="B23" s="315">
        <v>46037</v>
      </c>
      <c r="C23" s="316">
        <v>2475</v>
      </c>
      <c r="D23" s="316">
        <v>819225</v>
      </c>
      <c r="E23" s="316">
        <v>1</v>
      </c>
      <c r="F23" s="316" t="s">
        <v>18</v>
      </c>
      <c r="G23" s="316" t="s">
        <v>18</v>
      </c>
      <c r="H23" s="316" t="s">
        <v>18</v>
      </c>
      <c r="I23" s="317">
        <v>380</v>
      </c>
      <c r="J23" s="318">
        <v>532000</v>
      </c>
      <c r="K23" s="317">
        <v>2</v>
      </c>
      <c r="L23" s="316" t="s">
        <v>18</v>
      </c>
      <c r="M23" s="316" t="s">
        <v>18</v>
      </c>
      <c r="N23" s="316" t="s">
        <v>18</v>
      </c>
      <c r="O23" s="317">
        <v>10697</v>
      </c>
      <c r="P23" s="318">
        <v>24571009</v>
      </c>
      <c r="Q23" s="317">
        <v>17</v>
      </c>
      <c r="R23" s="317" t="s">
        <v>18</v>
      </c>
      <c r="S23" s="318" t="s">
        <v>18</v>
      </c>
      <c r="T23" s="317" t="s">
        <v>18</v>
      </c>
      <c r="U23" s="316" t="s">
        <v>18</v>
      </c>
      <c r="V23" s="316" t="s">
        <v>18</v>
      </c>
      <c r="W23" s="316" t="s">
        <v>18</v>
      </c>
      <c r="X23" s="316">
        <v>100</v>
      </c>
      <c r="Y23" s="316">
        <v>80000</v>
      </c>
      <c r="Z23" s="316">
        <v>1</v>
      </c>
    </row>
    <row r="24" spans="1:27" ht="18" customHeight="1" x14ac:dyDescent="0.25">
      <c r="A24" s="314">
        <v>10</v>
      </c>
      <c r="B24" s="315">
        <v>46040</v>
      </c>
      <c r="C24" s="316">
        <v>2525</v>
      </c>
      <c r="D24" s="316">
        <v>871125</v>
      </c>
      <c r="E24" s="316">
        <v>1</v>
      </c>
      <c r="F24" s="316" t="s">
        <v>18</v>
      </c>
      <c r="G24" s="316" t="s">
        <v>18</v>
      </c>
      <c r="H24" s="316" t="s">
        <v>18</v>
      </c>
      <c r="I24" s="317">
        <v>1020</v>
      </c>
      <c r="J24" s="318">
        <v>1428000</v>
      </c>
      <c r="K24" s="317">
        <v>4</v>
      </c>
      <c r="L24" s="316" t="s">
        <v>18</v>
      </c>
      <c r="M24" s="316" t="s">
        <v>18</v>
      </c>
      <c r="N24" s="316" t="s">
        <v>18</v>
      </c>
      <c r="O24" s="317">
        <v>9006</v>
      </c>
      <c r="P24" s="318">
        <v>20686782</v>
      </c>
      <c r="Q24" s="317">
        <v>7</v>
      </c>
      <c r="R24" s="317" t="s">
        <v>18</v>
      </c>
      <c r="S24" s="318" t="s">
        <v>18</v>
      </c>
      <c r="T24" s="317" t="s">
        <v>18</v>
      </c>
      <c r="U24" s="316" t="s">
        <v>18</v>
      </c>
      <c r="V24" s="316" t="s">
        <v>18</v>
      </c>
      <c r="W24" s="316" t="s">
        <v>18</v>
      </c>
      <c r="X24" s="316">
        <v>30</v>
      </c>
      <c r="Y24" s="316">
        <v>24000</v>
      </c>
      <c r="Z24" s="316">
        <v>1</v>
      </c>
    </row>
    <row r="25" spans="1:27" ht="18" customHeight="1" x14ac:dyDescent="0.25">
      <c r="A25" s="314">
        <v>12</v>
      </c>
      <c r="B25" s="315">
        <v>46042</v>
      </c>
      <c r="C25" s="316" t="s">
        <v>18</v>
      </c>
      <c r="D25" s="316" t="s">
        <v>18</v>
      </c>
      <c r="E25" s="316" t="s">
        <v>18</v>
      </c>
      <c r="F25" s="316" t="s">
        <v>18</v>
      </c>
      <c r="G25" s="316" t="s">
        <v>18</v>
      </c>
      <c r="H25" s="316" t="s">
        <v>18</v>
      </c>
      <c r="I25" s="317" t="s">
        <v>18</v>
      </c>
      <c r="J25" s="318" t="s">
        <v>18</v>
      </c>
      <c r="K25" s="317" t="s">
        <v>18</v>
      </c>
      <c r="L25" s="316" t="s">
        <v>18</v>
      </c>
      <c r="M25" s="316" t="s">
        <v>18</v>
      </c>
      <c r="N25" s="316" t="s">
        <v>18</v>
      </c>
      <c r="O25" s="317">
        <v>2700</v>
      </c>
      <c r="P25" s="318">
        <v>6199200</v>
      </c>
      <c r="Q25" s="317">
        <v>5</v>
      </c>
      <c r="R25" s="317" t="s">
        <v>18</v>
      </c>
      <c r="S25" s="318" t="s">
        <v>18</v>
      </c>
      <c r="T25" s="317" t="s">
        <v>18</v>
      </c>
      <c r="U25" s="316" t="s">
        <v>18</v>
      </c>
      <c r="V25" s="316" t="s">
        <v>18</v>
      </c>
      <c r="W25" s="316" t="s">
        <v>18</v>
      </c>
      <c r="X25" s="316" t="s">
        <v>18</v>
      </c>
      <c r="Y25" s="316" t="s">
        <v>18</v>
      </c>
      <c r="Z25" s="316" t="s">
        <v>18</v>
      </c>
    </row>
    <row r="26" spans="1:27" ht="18" customHeight="1" x14ac:dyDescent="0.25">
      <c r="A26" s="314">
        <v>13</v>
      </c>
      <c r="B26" s="315">
        <v>46044</v>
      </c>
      <c r="C26" s="316">
        <v>20025</v>
      </c>
      <c r="D26" s="316">
        <v>6908625</v>
      </c>
      <c r="E26" s="316">
        <v>2</v>
      </c>
      <c r="F26" s="316" t="s">
        <v>18</v>
      </c>
      <c r="G26" s="316" t="s">
        <v>18</v>
      </c>
      <c r="H26" s="316" t="s">
        <v>18</v>
      </c>
      <c r="I26" s="317">
        <v>9838</v>
      </c>
      <c r="J26" s="318">
        <v>13773200</v>
      </c>
      <c r="K26" s="317">
        <v>25</v>
      </c>
      <c r="L26" s="316" t="s">
        <v>18</v>
      </c>
      <c r="M26" s="316" t="s">
        <v>18</v>
      </c>
      <c r="N26" s="316" t="s">
        <v>18</v>
      </c>
      <c r="O26" s="317">
        <v>9006</v>
      </c>
      <c r="P26" s="318">
        <v>20686782</v>
      </c>
      <c r="Q26" s="317">
        <v>22</v>
      </c>
      <c r="R26" s="317">
        <v>958</v>
      </c>
      <c r="S26" s="318">
        <v>402360</v>
      </c>
      <c r="T26" s="317">
        <v>3</v>
      </c>
      <c r="U26" s="316" t="s">
        <v>18</v>
      </c>
      <c r="V26" s="316" t="s">
        <v>18</v>
      </c>
      <c r="W26" s="316" t="s">
        <v>18</v>
      </c>
      <c r="X26" s="316" t="s">
        <v>18</v>
      </c>
      <c r="Y26" s="316" t="s">
        <v>18</v>
      </c>
      <c r="Z26" s="316" t="s">
        <v>18</v>
      </c>
    </row>
    <row r="27" spans="1:27" ht="18" customHeight="1" x14ac:dyDescent="0.25">
      <c r="A27" s="314">
        <v>15</v>
      </c>
      <c r="B27" s="315">
        <v>46047</v>
      </c>
      <c r="C27" s="316">
        <v>19450</v>
      </c>
      <c r="D27" s="316">
        <v>6710250</v>
      </c>
      <c r="E27" s="316">
        <v>2</v>
      </c>
      <c r="F27" s="316" t="s">
        <v>18</v>
      </c>
      <c r="G27" s="316" t="s">
        <v>18</v>
      </c>
      <c r="H27" s="316" t="s">
        <v>18</v>
      </c>
      <c r="I27" s="317">
        <v>480</v>
      </c>
      <c r="J27" s="318">
        <v>672000</v>
      </c>
      <c r="K27" s="317">
        <v>2</v>
      </c>
      <c r="L27" s="316" t="s">
        <v>18</v>
      </c>
      <c r="M27" s="316" t="s">
        <v>18</v>
      </c>
      <c r="N27" s="316" t="s">
        <v>18</v>
      </c>
      <c r="O27" s="317">
        <v>9006</v>
      </c>
      <c r="P27" s="318">
        <v>20686782</v>
      </c>
      <c r="Q27" s="317">
        <v>14</v>
      </c>
      <c r="R27" s="317" t="s">
        <v>18</v>
      </c>
      <c r="S27" s="318" t="s">
        <v>18</v>
      </c>
      <c r="T27" s="317" t="s">
        <v>18</v>
      </c>
      <c r="U27" s="316" t="s">
        <v>18</v>
      </c>
      <c r="V27" s="316" t="s">
        <v>18</v>
      </c>
      <c r="W27" s="316" t="s">
        <v>18</v>
      </c>
      <c r="X27" s="316" t="s">
        <v>18</v>
      </c>
      <c r="Y27" s="316" t="s">
        <v>18</v>
      </c>
      <c r="Z27" s="316" t="s">
        <v>18</v>
      </c>
    </row>
    <row r="28" spans="1:27" ht="18" customHeight="1" x14ac:dyDescent="0.25">
      <c r="A28" s="314">
        <v>17</v>
      </c>
      <c r="B28" s="315">
        <v>46049</v>
      </c>
      <c r="C28" s="316">
        <v>41595</v>
      </c>
      <c r="D28" s="316">
        <v>14350275</v>
      </c>
      <c r="E28" s="316">
        <v>3</v>
      </c>
      <c r="F28" s="316" t="s">
        <v>18</v>
      </c>
      <c r="G28" s="316" t="s">
        <v>18</v>
      </c>
      <c r="H28" s="316" t="s">
        <v>18</v>
      </c>
      <c r="I28" s="317">
        <v>5700</v>
      </c>
      <c r="J28" s="318">
        <v>7980000</v>
      </c>
      <c r="K28" s="317">
        <v>7</v>
      </c>
      <c r="L28" s="316" t="s">
        <v>18</v>
      </c>
      <c r="M28" s="316" t="s">
        <v>18</v>
      </c>
      <c r="N28" s="316" t="s">
        <v>18</v>
      </c>
      <c r="O28" s="317">
        <v>9006</v>
      </c>
      <c r="P28" s="318">
        <v>20668770</v>
      </c>
      <c r="Q28" s="317">
        <v>6</v>
      </c>
      <c r="R28" s="317" t="s">
        <v>18</v>
      </c>
      <c r="S28" s="318" t="s">
        <v>18</v>
      </c>
      <c r="T28" s="317" t="s">
        <v>18</v>
      </c>
      <c r="U28" s="316" t="s">
        <v>18</v>
      </c>
      <c r="V28" s="316" t="s">
        <v>18</v>
      </c>
      <c r="W28" s="316" t="s">
        <v>18</v>
      </c>
      <c r="X28" s="316" t="s">
        <v>18</v>
      </c>
      <c r="Y28" s="316" t="s">
        <v>18</v>
      </c>
      <c r="Z28" s="316" t="s">
        <v>18</v>
      </c>
    </row>
    <row r="29" spans="1:27" ht="18" customHeight="1" x14ac:dyDescent="0.25">
      <c r="A29" s="314">
        <v>18</v>
      </c>
      <c r="B29" s="315">
        <v>46051</v>
      </c>
      <c r="C29" s="316" t="s">
        <v>18</v>
      </c>
      <c r="D29" s="316" t="s">
        <v>18</v>
      </c>
      <c r="E29" s="316" t="s">
        <v>18</v>
      </c>
      <c r="F29" s="316" t="s">
        <v>18</v>
      </c>
      <c r="G29" s="316" t="s">
        <v>18</v>
      </c>
      <c r="H29" s="316" t="s">
        <v>18</v>
      </c>
      <c r="I29" s="317">
        <v>2523</v>
      </c>
      <c r="J29" s="318">
        <v>3532200</v>
      </c>
      <c r="K29" s="317">
        <v>8</v>
      </c>
      <c r="L29" s="316" t="s">
        <v>18</v>
      </c>
      <c r="M29" s="316" t="s">
        <v>18</v>
      </c>
      <c r="N29" s="316" t="s">
        <v>18</v>
      </c>
      <c r="O29" s="317">
        <v>9006</v>
      </c>
      <c r="P29" s="318">
        <v>20668770</v>
      </c>
      <c r="Q29" s="317">
        <v>9</v>
      </c>
      <c r="R29" s="317" t="s">
        <v>18</v>
      </c>
      <c r="S29" s="318" t="s">
        <v>18</v>
      </c>
      <c r="T29" s="317" t="s">
        <v>18</v>
      </c>
      <c r="U29" s="316" t="s">
        <v>18</v>
      </c>
      <c r="V29" s="316" t="s">
        <v>18</v>
      </c>
      <c r="W29" s="316" t="s">
        <v>18</v>
      </c>
      <c r="X29" s="316" t="s">
        <v>18</v>
      </c>
      <c r="Y29" s="316" t="s">
        <v>18</v>
      </c>
      <c r="Z29" s="316" t="s">
        <v>18</v>
      </c>
    </row>
    <row r="30" spans="1:27" ht="18" customHeight="1" x14ac:dyDescent="0.25">
      <c r="A30" s="314">
        <v>19</v>
      </c>
      <c r="B30" s="315">
        <v>46054</v>
      </c>
      <c r="C30" s="316">
        <v>20232</v>
      </c>
      <c r="D30" s="316">
        <v>6980040</v>
      </c>
      <c r="E30" s="316">
        <v>3</v>
      </c>
      <c r="F30" s="316" t="s">
        <v>18</v>
      </c>
      <c r="G30" s="316" t="s">
        <v>18</v>
      </c>
      <c r="H30" s="316" t="s">
        <v>18</v>
      </c>
      <c r="I30" s="317">
        <v>2800</v>
      </c>
      <c r="J30" s="318">
        <v>3920000</v>
      </c>
      <c r="K30" s="317">
        <v>6</v>
      </c>
      <c r="L30" s="316" t="s">
        <v>18</v>
      </c>
      <c r="M30" s="316" t="s">
        <v>18</v>
      </c>
      <c r="N30" s="316" t="s">
        <v>18</v>
      </c>
      <c r="O30" s="317">
        <v>2155</v>
      </c>
      <c r="P30" s="318">
        <v>4945725</v>
      </c>
      <c r="Q30" s="317">
        <v>6</v>
      </c>
      <c r="R30" s="317" t="s">
        <v>18</v>
      </c>
      <c r="S30" s="318" t="s">
        <v>18</v>
      </c>
      <c r="T30" s="317" t="s">
        <v>18</v>
      </c>
      <c r="U30" s="316" t="s">
        <v>18</v>
      </c>
      <c r="V30" s="316" t="s">
        <v>18</v>
      </c>
      <c r="W30" s="316" t="s">
        <v>18</v>
      </c>
      <c r="X30" s="316" t="s">
        <v>18</v>
      </c>
      <c r="Y30" s="316" t="s">
        <v>18</v>
      </c>
      <c r="Z30" s="316" t="s">
        <v>18</v>
      </c>
    </row>
    <row r="31" spans="1:27" ht="18" customHeight="1" x14ac:dyDescent="0.25">
      <c r="A31" s="314">
        <v>21</v>
      </c>
      <c r="B31" s="315">
        <v>46056</v>
      </c>
      <c r="C31" s="316">
        <v>6636</v>
      </c>
      <c r="D31" s="316">
        <v>2289420</v>
      </c>
      <c r="E31" s="316">
        <v>3</v>
      </c>
      <c r="F31" s="316" t="s">
        <v>18</v>
      </c>
      <c r="G31" s="316" t="s">
        <v>18</v>
      </c>
      <c r="H31" s="316" t="s">
        <v>18</v>
      </c>
      <c r="I31" s="317" t="s">
        <v>18</v>
      </c>
      <c r="J31" s="318" t="s">
        <v>18</v>
      </c>
      <c r="K31" s="317" t="s">
        <v>18</v>
      </c>
      <c r="L31" s="316" t="s">
        <v>18</v>
      </c>
      <c r="M31" s="316" t="s">
        <v>18</v>
      </c>
      <c r="N31" s="316" t="s">
        <v>18</v>
      </c>
      <c r="O31" s="317">
        <v>2155</v>
      </c>
      <c r="P31" s="318">
        <v>4934950</v>
      </c>
      <c r="Q31" s="317">
        <v>3</v>
      </c>
      <c r="R31" s="317" t="s">
        <v>18</v>
      </c>
      <c r="S31" s="318" t="s">
        <v>18</v>
      </c>
      <c r="T31" s="317" t="s">
        <v>18</v>
      </c>
      <c r="U31" s="316" t="s">
        <v>18</v>
      </c>
      <c r="V31" s="316" t="s">
        <v>18</v>
      </c>
      <c r="W31" s="316" t="s">
        <v>18</v>
      </c>
      <c r="X31" s="316" t="s">
        <v>18</v>
      </c>
      <c r="Y31" s="316" t="s">
        <v>18</v>
      </c>
      <c r="Z31" s="316" t="s">
        <v>18</v>
      </c>
    </row>
    <row r="32" spans="1:27" ht="18" customHeight="1" x14ac:dyDescent="0.25">
      <c r="A32" s="314">
        <v>22</v>
      </c>
      <c r="B32" s="315">
        <v>46058</v>
      </c>
      <c r="C32" s="316">
        <v>10000</v>
      </c>
      <c r="D32" s="316">
        <v>3450000</v>
      </c>
      <c r="E32" s="316">
        <v>2</v>
      </c>
      <c r="F32" s="316" t="s">
        <v>18</v>
      </c>
      <c r="G32" s="316" t="s">
        <v>18</v>
      </c>
      <c r="H32" s="316" t="s">
        <v>18</v>
      </c>
      <c r="I32" s="317" t="s">
        <v>18</v>
      </c>
      <c r="J32" s="318" t="s">
        <v>18</v>
      </c>
      <c r="K32" s="317" t="s">
        <v>18</v>
      </c>
      <c r="L32" s="316" t="s">
        <v>18</v>
      </c>
      <c r="M32" s="316" t="s">
        <v>18</v>
      </c>
      <c r="N32" s="316" t="s">
        <v>18</v>
      </c>
      <c r="O32" s="317">
        <v>2305</v>
      </c>
      <c r="P32" s="318">
        <v>5276145</v>
      </c>
      <c r="Q32" s="317">
        <v>8</v>
      </c>
      <c r="R32" s="317" t="s">
        <v>18</v>
      </c>
      <c r="S32" s="318" t="s">
        <v>18</v>
      </c>
      <c r="T32" s="317" t="s">
        <v>18</v>
      </c>
      <c r="U32" s="316" t="s">
        <v>18</v>
      </c>
      <c r="V32" s="316" t="s">
        <v>18</v>
      </c>
      <c r="W32" s="316" t="s">
        <v>18</v>
      </c>
      <c r="X32" s="316" t="s">
        <v>18</v>
      </c>
      <c r="Y32" s="316" t="s">
        <v>18</v>
      </c>
      <c r="Z32" s="316" t="s">
        <v>18</v>
      </c>
    </row>
    <row r="33" spans="1:26" ht="18" customHeight="1" x14ac:dyDescent="0.25">
      <c r="A33" s="314">
        <v>23</v>
      </c>
      <c r="B33" s="315">
        <v>46061</v>
      </c>
      <c r="C33" s="316">
        <v>21537</v>
      </c>
      <c r="D33" s="316">
        <v>7430265</v>
      </c>
      <c r="E33" s="316">
        <v>2</v>
      </c>
      <c r="F33" s="316" t="s">
        <v>18</v>
      </c>
      <c r="G33" s="316" t="s">
        <v>18</v>
      </c>
      <c r="H33" s="316" t="s">
        <v>18</v>
      </c>
      <c r="I33" s="317">
        <v>10779</v>
      </c>
      <c r="J33" s="318">
        <v>15090600</v>
      </c>
      <c r="K33" s="317">
        <v>16</v>
      </c>
      <c r="L33" s="316" t="s">
        <v>18</v>
      </c>
      <c r="M33" s="316" t="s">
        <v>18</v>
      </c>
      <c r="N33" s="316" t="s">
        <v>18</v>
      </c>
      <c r="O33" s="317">
        <v>2155</v>
      </c>
      <c r="P33" s="318">
        <v>4932795</v>
      </c>
      <c r="Q33" s="317">
        <v>2</v>
      </c>
      <c r="R33" s="317" t="s">
        <v>18</v>
      </c>
      <c r="S33" s="318" t="s">
        <v>18</v>
      </c>
      <c r="T33" s="317" t="s">
        <v>18</v>
      </c>
      <c r="U33" s="316" t="s">
        <v>18</v>
      </c>
      <c r="V33" s="316" t="s">
        <v>18</v>
      </c>
      <c r="W33" s="316" t="s">
        <v>18</v>
      </c>
      <c r="X33" s="316" t="s">
        <v>18</v>
      </c>
      <c r="Y33" s="316" t="s">
        <v>18</v>
      </c>
      <c r="Z33" s="316" t="s">
        <v>18</v>
      </c>
    </row>
    <row r="34" spans="1:26" x14ac:dyDescent="0.25">
      <c r="A34" s="314">
        <v>25</v>
      </c>
      <c r="B34" s="315">
        <v>46063</v>
      </c>
      <c r="C34" s="316">
        <v>1080</v>
      </c>
      <c r="D34" s="316">
        <v>372600</v>
      </c>
      <c r="E34" s="316">
        <v>1</v>
      </c>
      <c r="F34" s="316" t="s">
        <v>18</v>
      </c>
      <c r="G34" s="316" t="s">
        <v>18</v>
      </c>
      <c r="H34" s="316" t="s">
        <v>18</v>
      </c>
      <c r="I34" s="317">
        <v>11564</v>
      </c>
      <c r="J34" s="318">
        <v>16189600</v>
      </c>
      <c r="K34" s="317">
        <v>10</v>
      </c>
      <c r="L34" s="316" t="s">
        <v>18</v>
      </c>
      <c r="M34" s="316" t="s">
        <v>18</v>
      </c>
      <c r="N34" s="316" t="s">
        <v>18</v>
      </c>
      <c r="O34" s="317">
        <v>4675</v>
      </c>
      <c r="P34" s="318">
        <v>10682375</v>
      </c>
      <c r="Q34" s="317">
        <v>8</v>
      </c>
      <c r="R34" s="317">
        <v>1000</v>
      </c>
      <c r="S34" s="318">
        <v>420000</v>
      </c>
      <c r="T34" s="317">
        <v>1</v>
      </c>
      <c r="U34" s="316" t="s">
        <v>18</v>
      </c>
      <c r="V34" s="316" t="s">
        <v>18</v>
      </c>
      <c r="W34" s="316" t="s">
        <v>18</v>
      </c>
      <c r="X34" s="316" t="s">
        <v>18</v>
      </c>
      <c r="Y34" s="316" t="s">
        <v>18</v>
      </c>
      <c r="Z34" s="316" t="s">
        <v>18</v>
      </c>
    </row>
    <row r="35" spans="1:26" x14ac:dyDescent="0.25">
      <c r="A35" s="314">
        <v>26</v>
      </c>
      <c r="B35" s="315">
        <v>46065</v>
      </c>
      <c r="C35" s="316" t="s">
        <v>18</v>
      </c>
      <c r="D35" s="316" t="s">
        <v>18</v>
      </c>
      <c r="E35" s="316" t="s">
        <v>18</v>
      </c>
      <c r="F35" s="316" t="s">
        <v>18</v>
      </c>
      <c r="G35" s="316" t="s">
        <v>18</v>
      </c>
      <c r="H35" s="316" t="s">
        <v>18</v>
      </c>
      <c r="I35" s="317">
        <v>2565</v>
      </c>
      <c r="J35" s="318">
        <v>3591000</v>
      </c>
      <c r="K35" s="317">
        <v>8</v>
      </c>
      <c r="L35" s="316" t="s">
        <v>18</v>
      </c>
      <c r="M35" s="316" t="s">
        <v>18</v>
      </c>
      <c r="N35" s="316" t="s">
        <v>18</v>
      </c>
      <c r="O35" s="317">
        <v>2155</v>
      </c>
      <c r="P35" s="318">
        <v>4889695</v>
      </c>
      <c r="Q35" s="317">
        <v>1</v>
      </c>
      <c r="R35" s="317" t="s">
        <v>18</v>
      </c>
      <c r="S35" s="318" t="s">
        <v>18</v>
      </c>
      <c r="T35" s="317" t="s">
        <v>18</v>
      </c>
      <c r="U35" s="316" t="s">
        <v>18</v>
      </c>
      <c r="V35" s="316" t="s">
        <v>18</v>
      </c>
      <c r="W35" s="316" t="s">
        <v>18</v>
      </c>
      <c r="X35" s="316" t="s">
        <v>18</v>
      </c>
      <c r="Y35" s="316" t="s">
        <v>18</v>
      </c>
      <c r="Z35" s="316" t="s">
        <v>18</v>
      </c>
    </row>
    <row r="36" spans="1:26" x14ac:dyDescent="0.25">
      <c r="A36" s="314">
        <v>28</v>
      </c>
      <c r="B36" s="315">
        <v>46068</v>
      </c>
      <c r="C36" s="316">
        <v>19883</v>
      </c>
      <c r="D36" s="316">
        <v>6859635</v>
      </c>
      <c r="E36" s="316">
        <v>2</v>
      </c>
      <c r="F36" s="316" t="s">
        <v>18</v>
      </c>
      <c r="G36" s="316" t="s">
        <v>18</v>
      </c>
      <c r="H36" s="316" t="s">
        <v>18</v>
      </c>
      <c r="I36" s="317">
        <v>7119</v>
      </c>
      <c r="J36" s="318">
        <v>9966600</v>
      </c>
      <c r="K36" s="317">
        <v>11</v>
      </c>
      <c r="L36" s="316" t="s">
        <v>18</v>
      </c>
      <c r="M36" s="316" t="s">
        <v>18</v>
      </c>
      <c r="N36" s="316" t="s">
        <v>18</v>
      </c>
      <c r="O36" s="317">
        <v>2155</v>
      </c>
      <c r="P36" s="318">
        <v>4889695</v>
      </c>
      <c r="Q36" s="317">
        <v>2</v>
      </c>
      <c r="R36" s="317">
        <v>1053</v>
      </c>
      <c r="S36" s="318">
        <v>442260</v>
      </c>
      <c r="T36" s="317">
        <v>2</v>
      </c>
      <c r="U36" s="316" t="s">
        <v>18</v>
      </c>
      <c r="V36" s="316" t="s">
        <v>18</v>
      </c>
      <c r="W36" s="316" t="s">
        <v>18</v>
      </c>
      <c r="X36" s="316" t="s">
        <v>18</v>
      </c>
      <c r="Y36" s="316" t="s">
        <v>18</v>
      </c>
      <c r="Z36" s="316" t="s">
        <v>18</v>
      </c>
    </row>
    <row r="37" spans="1:26" x14ac:dyDescent="0.25">
      <c r="A37" s="314">
        <v>29</v>
      </c>
      <c r="B37" s="315">
        <v>46070</v>
      </c>
      <c r="C37" s="316">
        <v>2733</v>
      </c>
      <c r="D37" s="316">
        <v>942885</v>
      </c>
      <c r="E37" s="316">
        <v>2</v>
      </c>
      <c r="F37" s="316" t="s">
        <v>18</v>
      </c>
      <c r="G37" s="316" t="s">
        <v>18</v>
      </c>
      <c r="H37" s="316" t="s">
        <v>18</v>
      </c>
      <c r="I37" s="317">
        <v>14624</v>
      </c>
      <c r="J37" s="318">
        <v>20473600</v>
      </c>
      <c r="K37" s="317">
        <v>8</v>
      </c>
      <c r="L37" s="316">
        <v>100</v>
      </c>
      <c r="M37" s="316">
        <v>250200</v>
      </c>
      <c r="N37" s="316">
        <v>2</v>
      </c>
      <c r="O37" s="317">
        <v>2155</v>
      </c>
      <c r="P37" s="318">
        <v>4870300</v>
      </c>
      <c r="Q37" s="317">
        <v>7</v>
      </c>
      <c r="R37" s="317" t="s">
        <v>18</v>
      </c>
      <c r="S37" s="318" t="s">
        <v>18</v>
      </c>
      <c r="T37" s="317" t="s">
        <v>18</v>
      </c>
      <c r="U37" s="316" t="s">
        <v>18</v>
      </c>
      <c r="V37" s="316" t="s">
        <v>18</v>
      </c>
      <c r="W37" s="316" t="s">
        <v>18</v>
      </c>
      <c r="X37" s="316" t="s">
        <v>18</v>
      </c>
      <c r="Y37" s="316" t="s">
        <v>18</v>
      </c>
      <c r="Z37" s="316" t="s">
        <v>18</v>
      </c>
    </row>
    <row r="38" spans="1:26" x14ac:dyDescent="0.25">
      <c r="A38" s="314">
        <v>30</v>
      </c>
      <c r="B38" s="315">
        <v>46072</v>
      </c>
      <c r="C38" s="316">
        <v>4410</v>
      </c>
      <c r="D38" s="316">
        <v>1521450</v>
      </c>
      <c r="E38" s="316">
        <v>3</v>
      </c>
      <c r="F38" s="316">
        <v>10</v>
      </c>
      <c r="G38" s="316">
        <v>3600</v>
      </c>
      <c r="H38" s="316">
        <v>1</v>
      </c>
      <c r="I38" s="317">
        <v>9687</v>
      </c>
      <c r="J38" s="318">
        <v>13561800</v>
      </c>
      <c r="K38" s="317">
        <v>7</v>
      </c>
      <c r="L38" s="316">
        <v>1215</v>
      </c>
      <c r="M38" s="316">
        <v>3038715</v>
      </c>
      <c r="N38" s="316">
        <v>3</v>
      </c>
      <c r="O38" s="317">
        <v>2197</v>
      </c>
      <c r="P38" s="318">
        <v>4943250</v>
      </c>
      <c r="Q38" s="317">
        <v>6</v>
      </c>
      <c r="R38" s="317" t="s">
        <v>18</v>
      </c>
      <c r="S38" s="318" t="s">
        <v>18</v>
      </c>
      <c r="T38" s="317" t="s">
        <v>18</v>
      </c>
      <c r="U38" s="316" t="s">
        <v>18</v>
      </c>
      <c r="V38" s="316" t="s">
        <v>18</v>
      </c>
      <c r="W38" s="316" t="s">
        <v>18</v>
      </c>
      <c r="X38" s="316" t="s">
        <v>18</v>
      </c>
      <c r="Y38" s="316" t="s">
        <v>18</v>
      </c>
      <c r="Z38" s="316" t="s">
        <v>18</v>
      </c>
    </row>
    <row r="39" spans="1:26" x14ac:dyDescent="0.25">
      <c r="A39" s="314">
        <v>32</v>
      </c>
      <c r="B39" s="315">
        <v>46075</v>
      </c>
      <c r="C39" s="316">
        <v>5000</v>
      </c>
      <c r="D39" s="316">
        <v>1725000</v>
      </c>
      <c r="E39" s="316">
        <v>1</v>
      </c>
      <c r="F39" s="316" t="s">
        <v>18</v>
      </c>
      <c r="G39" s="316" t="s">
        <v>18</v>
      </c>
      <c r="H39" s="316" t="s">
        <v>18</v>
      </c>
      <c r="I39" s="317" t="s">
        <v>18</v>
      </c>
      <c r="J39" s="318" t="s">
        <v>18</v>
      </c>
      <c r="K39" s="317" t="s">
        <v>18</v>
      </c>
      <c r="L39" s="316">
        <v>595</v>
      </c>
      <c r="M39" s="316">
        <v>1488095</v>
      </c>
      <c r="N39" s="316">
        <v>2</v>
      </c>
      <c r="O39" s="317">
        <v>2355</v>
      </c>
      <c r="P39" s="318">
        <v>5298750</v>
      </c>
      <c r="Q39" s="317">
        <v>4</v>
      </c>
      <c r="R39" s="317" t="s">
        <v>18</v>
      </c>
      <c r="S39" s="318" t="s">
        <v>18</v>
      </c>
      <c r="T39" s="317" t="s">
        <v>18</v>
      </c>
      <c r="U39" s="316" t="s">
        <v>18</v>
      </c>
      <c r="V39" s="316" t="s">
        <v>18</v>
      </c>
      <c r="W39" s="316" t="s">
        <v>18</v>
      </c>
      <c r="X39" s="316" t="s">
        <v>18</v>
      </c>
      <c r="Y39" s="316" t="s">
        <v>18</v>
      </c>
      <c r="Z39" s="316" t="s">
        <v>18</v>
      </c>
    </row>
    <row r="40" spans="1:26" x14ac:dyDescent="0.25">
      <c r="A40" s="314">
        <v>34</v>
      </c>
      <c r="B40" s="315">
        <v>46077</v>
      </c>
      <c r="C40" s="316">
        <v>1750</v>
      </c>
      <c r="D40" s="316">
        <v>603750</v>
      </c>
      <c r="E40" s="316">
        <v>1</v>
      </c>
      <c r="F40" s="316" t="s">
        <v>18</v>
      </c>
      <c r="G40" s="316" t="s">
        <v>18</v>
      </c>
      <c r="H40" s="316" t="s">
        <v>18</v>
      </c>
      <c r="I40" s="317" t="s">
        <v>18</v>
      </c>
      <c r="J40" s="318" t="s">
        <v>18</v>
      </c>
      <c r="K40" s="317" t="s">
        <v>18</v>
      </c>
      <c r="L40" s="316" t="s">
        <v>18</v>
      </c>
      <c r="M40" s="316" t="s">
        <v>18</v>
      </c>
      <c r="N40" s="316" t="s">
        <v>18</v>
      </c>
      <c r="O40" s="317">
        <v>4743</v>
      </c>
      <c r="P40" s="318">
        <v>10667007</v>
      </c>
      <c r="Q40" s="317">
        <v>6</v>
      </c>
      <c r="R40" s="317" t="s">
        <v>18</v>
      </c>
      <c r="S40" s="318" t="s">
        <v>18</v>
      </c>
      <c r="T40" s="317" t="s">
        <v>18</v>
      </c>
      <c r="U40" s="316" t="s">
        <v>18</v>
      </c>
      <c r="V40" s="316" t="s">
        <v>18</v>
      </c>
      <c r="W40" s="316" t="s">
        <v>18</v>
      </c>
      <c r="X40" s="316" t="s">
        <v>18</v>
      </c>
      <c r="Y40" s="316" t="s">
        <v>18</v>
      </c>
      <c r="Z40" s="316" t="s">
        <v>18</v>
      </c>
    </row>
    <row r="41" spans="1:26" x14ac:dyDescent="0.25">
      <c r="A41" s="314">
        <v>35</v>
      </c>
      <c r="B41" s="315">
        <v>46079</v>
      </c>
      <c r="C41" s="316">
        <v>8596</v>
      </c>
      <c r="D41" s="316">
        <v>2965620</v>
      </c>
      <c r="E41" s="316">
        <v>1</v>
      </c>
      <c r="F41" s="316" t="s">
        <v>18</v>
      </c>
      <c r="G41" s="316" t="s">
        <v>18</v>
      </c>
      <c r="H41" s="316" t="s">
        <v>18</v>
      </c>
      <c r="I41" s="317" t="s">
        <v>18</v>
      </c>
      <c r="J41" s="318" t="s">
        <v>18</v>
      </c>
      <c r="K41" s="317" t="s">
        <v>18</v>
      </c>
      <c r="L41" s="316">
        <v>1110</v>
      </c>
      <c r="M41" s="316">
        <v>2777220</v>
      </c>
      <c r="N41" s="316">
        <v>1</v>
      </c>
      <c r="O41" s="317">
        <v>2155</v>
      </c>
      <c r="P41" s="318">
        <v>4846595</v>
      </c>
      <c r="Q41" s="317">
        <v>2</v>
      </c>
      <c r="R41" s="317" t="s">
        <v>18</v>
      </c>
      <c r="S41" s="318" t="s">
        <v>18</v>
      </c>
      <c r="T41" s="317" t="s">
        <v>18</v>
      </c>
      <c r="U41" s="316" t="s">
        <v>18</v>
      </c>
      <c r="V41" s="316" t="s">
        <v>18</v>
      </c>
      <c r="W41" s="316" t="s">
        <v>18</v>
      </c>
      <c r="X41" s="316" t="s">
        <v>18</v>
      </c>
      <c r="Y41" s="316" t="s">
        <v>18</v>
      </c>
      <c r="Z41" s="316" t="s">
        <v>18</v>
      </c>
    </row>
    <row r="42" spans="1:26" x14ac:dyDescent="0.25">
      <c r="A42" s="314">
        <v>56</v>
      </c>
      <c r="B42" s="315">
        <v>46112</v>
      </c>
      <c r="C42" s="316">
        <v>200</v>
      </c>
      <c r="D42" s="316">
        <v>69000</v>
      </c>
      <c r="E42" s="316">
        <v>1</v>
      </c>
      <c r="F42" s="316" t="s">
        <v>18</v>
      </c>
      <c r="G42" s="316" t="s">
        <v>18</v>
      </c>
      <c r="H42" s="316" t="s">
        <v>18</v>
      </c>
      <c r="I42" s="317">
        <v>52140</v>
      </c>
      <c r="J42" s="318">
        <v>72996000</v>
      </c>
      <c r="K42" s="317">
        <v>60</v>
      </c>
      <c r="L42" s="316" t="s">
        <v>18</v>
      </c>
      <c r="M42" s="316" t="s">
        <v>18</v>
      </c>
      <c r="N42" s="316" t="s">
        <v>18</v>
      </c>
      <c r="O42" s="317">
        <v>1000</v>
      </c>
      <c r="P42" s="318">
        <v>2200000</v>
      </c>
      <c r="Q42" s="317">
        <v>4</v>
      </c>
      <c r="R42" s="317">
        <v>20</v>
      </c>
      <c r="S42" s="318">
        <v>8400</v>
      </c>
      <c r="T42" s="317">
        <v>1</v>
      </c>
      <c r="U42" s="316" t="s">
        <v>18</v>
      </c>
      <c r="V42" s="316" t="s">
        <v>18</v>
      </c>
      <c r="W42" s="316" t="s">
        <v>18</v>
      </c>
      <c r="X42" s="316" t="s">
        <v>18</v>
      </c>
      <c r="Y42" s="316" t="s">
        <v>18</v>
      </c>
      <c r="Z42" s="316" t="s">
        <v>18</v>
      </c>
    </row>
    <row r="43" spans="1:26" x14ac:dyDescent="0.25">
      <c r="A43" s="314">
        <v>57</v>
      </c>
      <c r="B43" s="315">
        <v>46114</v>
      </c>
      <c r="C43" s="316" t="s">
        <v>18</v>
      </c>
      <c r="D43" s="316" t="s">
        <v>18</v>
      </c>
      <c r="E43" s="316" t="s">
        <v>18</v>
      </c>
      <c r="F43" s="316" t="s">
        <v>18</v>
      </c>
      <c r="G43" s="316" t="s">
        <v>18</v>
      </c>
      <c r="H43" s="316" t="s">
        <v>18</v>
      </c>
      <c r="I43" s="317">
        <v>19000</v>
      </c>
      <c r="J43" s="318">
        <v>26600000</v>
      </c>
      <c r="K43" s="317">
        <v>21</v>
      </c>
      <c r="L43" s="316" t="s">
        <v>18</v>
      </c>
      <c r="M43" s="316" t="s">
        <v>18</v>
      </c>
      <c r="N43" s="316" t="s">
        <v>18</v>
      </c>
      <c r="O43" s="317">
        <v>400</v>
      </c>
      <c r="P43" s="318">
        <v>859200</v>
      </c>
      <c r="Q43" s="317">
        <v>2</v>
      </c>
      <c r="R43" s="317" t="s">
        <v>18</v>
      </c>
      <c r="S43" s="318" t="s">
        <v>18</v>
      </c>
      <c r="T43" s="317" t="s">
        <v>18</v>
      </c>
      <c r="U43" s="316" t="s">
        <v>18</v>
      </c>
      <c r="V43" s="316" t="s">
        <v>18</v>
      </c>
      <c r="W43" s="316" t="s">
        <v>18</v>
      </c>
      <c r="X43" s="316">
        <v>150</v>
      </c>
      <c r="Y43" s="316">
        <v>117000</v>
      </c>
      <c r="Z43" s="316">
        <v>1</v>
      </c>
    </row>
    <row r="44" spans="1:26" x14ac:dyDescent="0.25">
      <c r="A44" s="314">
        <v>59</v>
      </c>
      <c r="B44" s="315">
        <v>46117</v>
      </c>
      <c r="C44" s="316" t="s">
        <v>18</v>
      </c>
      <c r="D44" s="316" t="s">
        <v>18</v>
      </c>
      <c r="E44" s="316" t="s">
        <v>18</v>
      </c>
      <c r="F44" s="316" t="s">
        <v>18</v>
      </c>
      <c r="G44" s="316" t="s">
        <v>18</v>
      </c>
      <c r="H44" s="316" t="s">
        <v>18</v>
      </c>
      <c r="I44" s="317" t="s">
        <v>18</v>
      </c>
      <c r="J44" s="318" t="s">
        <v>18</v>
      </c>
      <c r="K44" s="317" t="s">
        <v>18</v>
      </c>
      <c r="L44" s="316" t="s">
        <v>18</v>
      </c>
      <c r="M44" s="316" t="s">
        <v>18</v>
      </c>
      <c r="N44" s="316" t="s">
        <v>18</v>
      </c>
      <c r="O44" s="317">
        <v>1000</v>
      </c>
      <c r="P44" s="318">
        <v>2195000</v>
      </c>
      <c r="Q44" s="317">
        <v>3</v>
      </c>
      <c r="R44" s="317" t="s">
        <v>18</v>
      </c>
      <c r="S44" s="318" t="s">
        <v>18</v>
      </c>
      <c r="T44" s="317" t="s">
        <v>18</v>
      </c>
      <c r="U44" s="316" t="s">
        <v>18</v>
      </c>
      <c r="V44" s="316" t="s">
        <v>18</v>
      </c>
      <c r="W44" s="316" t="s">
        <v>18</v>
      </c>
      <c r="X44" s="316" t="s">
        <v>18</v>
      </c>
      <c r="Y44" s="316" t="s">
        <v>18</v>
      </c>
      <c r="Z44" s="316" t="s">
        <v>18</v>
      </c>
    </row>
    <row r="45" spans="1:26" x14ac:dyDescent="0.25">
      <c r="A45" s="314">
        <v>60</v>
      </c>
      <c r="B45" s="315">
        <v>46119</v>
      </c>
      <c r="C45" s="316">
        <v>87</v>
      </c>
      <c r="D45" s="316">
        <v>30015</v>
      </c>
      <c r="E45" s="316">
        <v>3</v>
      </c>
      <c r="F45" s="316" t="s">
        <v>18</v>
      </c>
      <c r="G45" s="316" t="s">
        <v>18</v>
      </c>
      <c r="H45" s="316" t="s">
        <v>18</v>
      </c>
      <c r="I45" s="317">
        <v>9105</v>
      </c>
      <c r="J45" s="318">
        <v>12737895</v>
      </c>
      <c r="K45" s="317">
        <v>14</v>
      </c>
      <c r="L45" s="316" t="s">
        <v>18</v>
      </c>
      <c r="M45" s="316" t="s">
        <v>18</v>
      </c>
      <c r="N45" s="316" t="s">
        <v>18</v>
      </c>
      <c r="O45" s="317">
        <v>1028</v>
      </c>
      <c r="P45" s="318">
        <v>2148520</v>
      </c>
      <c r="Q45" s="317">
        <v>4</v>
      </c>
      <c r="R45" s="317" t="s">
        <v>18</v>
      </c>
      <c r="S45" s="318" t="s">
        <v>18</v>
      </c>
      <c r="T45" s="317" t="s">
        <v>18</v>
      </c>
      <c r="U45" s="316" t="s">
        <v>18</v>
      </c>
      <c r="V45" s="316" t="s">
        <v>18</v>
      </c>
      <c r="W45" s="316" t="s">
        <v>18</v>
      </c>
      <c r="X45" s="316" t="s">
        <v>18</v>
      </c>
      <c r="Y45" s="316" t="s">
        <v>18</v>
      </c>
      <c r="Z45" s="316" t="s">
        <v>18</v>
      </c>
    </row>
    <row r="46" spans="1:26" x14ac:dyDescent="0.25">
      <c r="A46" s="314">
        <v>61</v>
      </c>
      <c r="B46" s="315">
        <v>46121</v>
      </c>
      <c r="C46" s="316" t="s">
        <v>18</v>
      </c>
      <c r="D46" s="316" t="s">
        <v>18</v>
      </c>
      <c r="E46" s="316" t="s">
        <v>18</v>
      </c>
      <c r="F46" s="316" t="s">
        <v>18</v>
      </c>
      <c r="G46" s="316" t="s">
        <v>18</v>
      </c>
      <c r="H46" s="316" t="s">
        <v>18</v>
      </c>
      <c r="I46" s="317">
        <v>19575</v>
      </c>
      <c r="J46" s="318">
        <v>27385425</v>
      </c>
      <c r="K46" s="317">
        <v>14</v>
      </c>
      <c r="L46" s="316" t="s">
        <v>18</v>
      </c>
      <c r="M46" s="316" t="s">
        <v>18</v>
      </c>
      <c r="N46" s="316" t="s">
        <v>18</v>
      </c>
      <c r="O46" s="317">
        <v>2147</v>
      </c>
      <c r="P46" s="318">
        <v>4401350</v>
      </c>
      <c r="Q46" s="317">
        <v>12</v>
      </c>
      <c r="R46" s="317" t="s">
        <v>18</v>
      </c>
      <c r="S46" s="318" t="s">
        <v>18</v>
      </c>
      <c r="T46" s="317" t="s">
        <v>18</v>
      </c>
      <c r="U46" s="316" t="s">
        <v>18</v>
      </c>
      <c r="V46" s="316" t="s">
        <v>18</v>
      </c>
      <c r="W46" s="316" t="s">
        <v>18</v>
      </c>
      <c r="X46" s="316" t="s">
        <v>18</v>
      </c>
      <c r="Y46" s="316" t="s">
        <v>18</v>
      </c>
      <c r="Z46" s="316" t="s">
        <v>18</v>
      </c>
    </row>
    <row r="47" spans="1:26" x14ac:dyDescent="0.25">
      <c r="A47" s="314">
        <v>62</v>
      </c>
      <c r="B47" s="315">
        <v>46124</v>
      </c>
      <c r="C47" s="316" t="s">
        <v>18</v>
      </c>
      <c r="D47" s="316" t="s">
        <v>18</v>
      </c>
      <c r="E47" s="316" t="s">
        <v>18</v>
      </c>
      <c r="F47" s="316" t="s">
        <v>18</v>
      </c>
      <c r="G47" s="316" t="s">
        <v>18</v>
      </c>
      <c r="H47" s="316" t="s">
        <v>18</v>
      </c>
      <c r="I47" s="317">
        <v>3850</v>
      </c>
      <c r="J47" s="318">
        <v>5386150</v>
      </c>
      <c r="K47" s="317">
        <v>15</v>
      </c>
      <c r="L47" s="316" t="s">
        <v>18</v>
      </c>
      <c r="M47" s="316" t="s">
        <v>18</v>
      </c>
      <c r="N47" s="316" t="s">
        <v>18</v>
      </c>
      <c r="O47" s="317">
        <v>9530</v>
      </c>
      <c r="P47" s="318">
        <v>19917700</v>
      </c>
      <c r="Q47" s="317">
        <v>14</v>
      </c>
      <c r="R47" s="317" t="s">
        <v>18</v>
      </c>
      <c r="S47" s="318" t="s">
        <v>18</v>
      </c>
      <c r="T47" s="317" t="s">
        <v>18</v>
      </c>
      <c r="U47" s="316" t="s">
        <v>18</v>
      </c>
      <c r="V47" s="316" t="s">
        <v>18</v>
      </c>
      <c r="W47" s="316" t="s">
        <v>18</v>
      </c>
      <c r="X47" s="316" t="s">
        <v>18</v>
      </c>
      <c r="Y47" s="316" t="s">
        <v>18</v>
      </c>
      <c r="Z47" s="316" t="s">
        <v>18</v>
      </c>
    </row>
    <row r="48" spans="1:26" x14ac:dyDescent="0.25">
      <c r="A48" s="314">
        <v>64</v>
      </c>
      <c r="B48" s="315">
        <v>46126</v>
      </c>
      <c r="C48" s="316" t="s">
        <v>18</v>
      </c>
      <c r="D48" s="316" t="s">
        <v>18</v>
      </c>
      <c r="E48" s="316" t="s">
        <v>18</v>
      </c>
      <c r="F48" s="316" t="s">
        <v>18</v>
      </c>
      <c r="G48" s="316" t="s">
        <v>18</v>
      </c>
      <c r="H48" s="316" t="s">
        <v>18</v>
      </c>
      <c r="I48" s="317">
        <v>4236</v>
      </c>
      <c r="J48" s="318">
        <v>5921928</v>
      </c>
      <c r="K48" s="317">
        <v>10</v>
      </c>
      <c r="L48" s="316">
        <v>100</v>
      </c>
      <c r="M48" s="316">
        <v>250400</v>
      </c>
      <c r="N48" s="316">
        <v>2</v>
      </c>
      <c r="O48" s="317">
        <v>3843</v>
      </c>
      <c r="P48" s="318">
        <v>7878150</v>
      </c>
      <c r="Q48" s="317">
        <v>14</v>
      </c>
      <c r="R48" s="317" t="s">
        <v>18</v>
      </c>
      <c r="S48" s="318" t="s">
        <v>18</v>
      </c>
      <c r="T48" s="317" t="s">
        <v>18</v>
      </c>
      <c r="U48" s="316" t="s">
        <v>18</v>
      </c>
      <c r="V48" s="316" t="s">
        <v>18</v>
      </c>
      <c r="W48" s="316" t="s">
        <v>18</v>
      </c>
      <c r="X48" s="316">
        <v>100</v>
      </c>
      <c r="Y48" s="316">
        <v>78000</v>
      </c>
      <c r="Z48" s="316">
        <v>1</v>
      </c>
    </row>
    <row r="49" spans="1:26" x14ac:dyDescent="0.25">
      <c r="A49" s="314">
        <v>65</v>
      </c>
      <c r="B49" s="315">
        <v>46128</v>
      </c>
      <c r="C49" s="316">
        <v>7604</v>
      </c>
      <c r="D49" s="316">
        <v>2623380</v>
      </c>
      <c r="E49" s="316">
        <v>4</v>
      </c>
      <c r="F49" s="316" t="s">
        <v>18</v>
      </c>
      <c r="G49" s="316" t="s">
        <v>18</v>
      </c>
      <c r="H49" s="316" t="s">
        <v>18</v>
      </c>
      <c r="I49" s="317">
        <v>1100</v>
      </c>
      <c r="J49" s="318">
        <v>1534500</v>
      </c>
      <c r="K49" s="317">
        <v>8</v>
      </c>
      <c r="L49" s="316">
        <v>316</v>
      </c>
      <c r="M49" s="316">
        <v>791264</v>
      </c>
      <c r="N49" s="316">
        <v>2</v>
      </c>
      <c r="O49" s="317">
        <v>1530</v>
      </c>
      <c r="P49" s="318">
        <v>3127320</v>
      </c>
      <c r="Q49" s="317">
        <v>7</v>
      </c>
      <c r="R49" s="317" t="s">
        <v>18</v>
      </c>
      <c r="S49" s="318" t="s">
        <v>18</v>
      </c>
      <c r="T49" s="317" t="s">
        <v>18</v>
      </c>
      <c r="U49" s="316" t="s">
        <v>18</v>
      </c>
      <c r="V49" s="316" t="s">
        <v>18</v>
      </c>
      <c r="W49" s="316" t="s">
        <v>18</v>
      </c>
      <c r="X49" s="316">
        <v>100</v>
      </c>
      <c r="Y49" s="316">
        <v>78000</v>
      </c>
      <c r="Z49" s="316">
        <v>1</v>
      </c>
    </row>
    <row r="50" spans="1:26" x14ac:dyDescent="0.25">
      <c r="A50" s="314">
        <v>67</v>
      </c>
      <c r="B50" s="315">
        <v>46131</v>
      </c>
      <c r="C50" s="316">
        <v>197</v>
      </c>
      <c r="D50" s="316">
        <v>67965</v>
      </c>
      <c r="E50" s="316">
        <v>1</v>
      </c>
      <c r="F50" s="316" t="s">
        <v>18</v>
      </c>
      <c r="G50" s="316" t="s">
        <v>18</v>
      </c>
      <c r="H50" s="316" t="s">
        <v>18</v>
      </c>
      <c r="I50" s="317">
        <v>16924</v>
      </c>
      <c r="J50" s="318">
        <v>23659752</v>
      </c>
      <c r="K50" s="317">
        <v>21</v>
      </c>
      <c r="L50" s="316">
        <v>400</v>
      </c>
      <c r="M50" s="316">
        <v>1001600</v>
      </c>
      <c r="N50" s="316">
        <v>1</v>
      </c>
      <c r="O50" s="317">
        <v>37000</v>
      </c>
      <c r="P50" s="318">
        <v>75850000</v>
      </c>
      <c r="Q50" s="317">
        <v>41</v>
      </c>
      <c r="R50" s="317" t="s">
        <v>18</v>
      </c>
      <c r="S50" s="318" t="s">
        <v>18</v>
      </c>
      <c r="T50" s="317" t="s">
        <v>18</v>
      </c>
      <c r="U50" s="316" t="s">
        <v>18</v>
      </c>
      <c r="V50" s="316" t="s">
        <v>18</v>
      </c>
      <c r="W50" s="316" t="s">
        <v>18</v>
      </c>
      <c r="X50" s="316">
        <v>100</v>
      </c>
      <c r="Y50" s="316">
        <v>78000</v>
      </c>
      <c r="Z50" s="316">
        <v>1</v>
      </c>
    </row>
    <row r="51" spans="1:26" x14ac:dyDescent="0.25">
      <c r="A51" s="314">
        <v>69</v>
      </c>
      <c r="B51" s="315">
        <v>46133</v>
      </c>
      <c r="C51" s="316">
        <v>725</v>
      </c>
      <c r="D51" s="316">
        <v>250125</v>
      </c>
      <c r="E51" s="316">
        <v>1</v>
      </c>
      <c r="F51" s="316" t="s">
        <v>18</v>
      </c>
      <c r="G51" s="316" t="s">
        <v>18</v>
      </c>
      <c r="H51" s="316" t="s">
        <v>18</v>
      </c>
      <c r="I51" s="317">
        <v>5500</v>
      </c>
      <c r="J51" s="318">
        <v>7689000</v>
      </c>
      <c r="K51" s="317">
        <v>10</v>
      </c>
      <c r="L51" s="316">
        <v>2784</v>
      </c>
      <c r="M51" s="316">
        <v>6971136</v>
      </c>
      <c r="N51" s="316">
        <v>4</v>
      </c>
      <c r="O51" s="317">
        <v>28500</v>
      </c>
      <c r="P51" s="318">
        <v>59280000</v>
      </c>
      <c r="Q51" s="317">
        <v>40</v>
      </c>
      <c r="R51" s="317" t="s">
        <v>18</v>
      </c>
      <c r="S51" s="318" t="s">
        <v>18</v>
      </c>
      <c r="T51" s="317" t="s">
        <v>18</v>
      </c>
      <c r="U51" s="316" t="s">
        <v>18</v>
      </c>
      <c r="V51" s="316" t="s">
        <v>18</v>
      </c>
      <c r="W51" s="316" t="s">
        <v>18</v>
      </c>
      <c r="X51" s="316" t="s">
        <v>18</v>
      </c>
      <c r="Y51" s="316" t="s">
        <v>18</v>
      </c>
      <c r="Z51" s="316" t="s">
        <v>18</v>
      </c>
    </row>
    <row r="52" spans="1:26" x14ac:dyDescent="0.25">
      <c r="A52" s="314">
        <v>70</v>
      </c>
      <c r="B52" s="315">
        <v>46135</v>
      </c>
      <c r="C52" s="316" t="s">
        <v>18</v>
      </c>
      <c r="D52" s="316" t="s">
        <v>18</v>
      </c>
      <c r="E52" s="316" t="s">
        <v>18</v>
      </c>
      <c r="F52" s="316" t="s">
        <v>18</v>
      </c>
      <c r="G52" s="316" t="s">
        <v>18</v>
      </c>
      <c r="H52" s="316" t="s">
        <v>18</v>
      </c>
      <c r="I52" s="317" t="s">
        <v>18</v>
      </c>
      <c r="J52" s="318" t="s">
        <v>18</v>
      </c>
      <c r="K52" s="317" t="s">
        <v>18</v>
      </c>
      <c r="L52" s="316">
        <v>1401</v>
      </c>
      <c r="M52" s="316">
        <v>3508104</v>
      </c>
      <c r="N52" s="316">
        <v>1</v>
      </c>
      <c r="O52" s="317">
        <v>19385</v>
      </c>
      <c r="P52" s="318">
        <v>40301415</v>
      </c>
      <c r="Q52" s="317">
        <v>31</v>
      </c>
      <c r="R52" s="317" t="s">
        <v>18</v>
      </c>
      <c r="S52" s="318" t="s">
        <v>18</v>
      </c>
      <c r="T52" s="317" t="s">
        <v>18</v>
      </c>
      <c r="U52" s="316" t="s">
        <v>18</v>
      </c>
      <c r="V52" s="316" t="s">
        <v>18</v>
      </c>
      <c r="W52" s="316" t="s">
        <v>18</v>
      </c>
      <c r="X52" s="316" t="s">
        <v>18</v>
      </c>
      <c r="Y52" s="316" t="s">
        <v>18</v>
      </c>
      <c r="Z52" s="316" t="s">
        <v>18</v>
      </c>
    </row>
    <row r="53" spans="1:26" x14ac:dyDescent="0.25">
      <c r="A53" s="314">
        <v>72</v>
      </c>
      <c r="B53" s="315">
        <v>46138</v>
      </c>
      <c r="C53" s="316" t="s">
        <v>18</v>
      </c>
      <c r="D53" s="316" t="s">
        <v>18</v>
      </c>
      <c r="E53" s="316" t="s">
        <v>18</v>
      </c>
      <c r="F53" s="316" t="s">
        <v>18</v>
      </c>
      <c r="G53" s="316" t="s">
        <v>18</v>
      </c>
      <c r="H53" s="316" t="s">
        <v>18</v>
      </c>
      <c r="I53" s="317">
        <v>29295</v>
      </c>
      <c r="J53" s="318">
        <v>40954410</v>
      </c>
      <c r="K53" s="317">
        <v>34</v>
      </c>
      <c r="L53" s="316" t="s">
        <v>18</v>
      </c>
      <c r="M53" s="316" t="s">
        <v>18</v>
      </c>
      <c r="N53" s="316" t="s">
        <v>18</v>
      </c>
      <c r="O53" s="317">
        <v>10700</v>
      </c>
      <c r="P53" s="318">
        <v>22363000</v>
      </c>
      <c r="Q53" s="317">
        <v>24</v>
      </c>
      <c r="R53" s="317" t="s">
        <v>18</v>
      </c>
      <c r="S53" s="318" t="s">
        <v>18</v>
      </c>
      <c r="T53" s="317" t="s">
        <v>18</v>
      </c>
      <c r="U53" s="316" t="s">
        <v>18</v>
      </c>
      <c r="V53" s="316" t="s">
        <v>18</v>
      </c>
      <c r="W53" s="316" t="s">
        <v>18</v>
      </c>
      <c r="X53" s="316" t="s">
        <v>18</v>
      </c>
      <c r="Y53" s="316" t="s">
        <v>18</v>
      </c>
      <c r="Z53" s="316" t="s">
        <v>18</v>
      </c>
    </row>
    <row r="54" spans="1:26" x14ac:dyDescent="0.25">
      <c r="A54" s="314">
        <v>73</v>
      </c>
      <c r="B54" s="315">
        <v>46140</v>
      </c>
      <c r="C54" s="316">
        <v>13993</v>
      </c>
      <c r="D54" s="316">
        <v>4827585</v>
      </c>
      <c r="E54" s="316">
        <v>3</v>
      </c>
      <c r="F54" s="316" t="s">
        <v>18</v>
      </c>
      <c r="G54" s="316" t="s">
        <v>18</v>
      </c>
      <c r="H54" s="316" t="s">
        <v>18</v>
      </c>
      <c r="I54" s="317">
        <v>26064</v>
      </c>
      <c r="J54" s="318">
        <v>36437472</v>
      </c>
      <c r="K54" s="317">
        <v>24</v>
      </c>
      <c r="L54" s="316">
        <v>1640</v>
      </c>
      <c r="M54" s="316">
        <v>4106560</v>
      </c>
      <c r="N54" s="316">
        <v>2</v>
      </c>
      <c r="O54" s="317">
        <v>25500</v>
      </c>
      <c r="P54" s="318">
        <v>53295000</v>
      </c>
      <c r="Q54" s="317">
        <v>51</v>
      </c>
      <c r="R54" s="317">
        <v>75</v>
      </c>
      <c r="S54" s="318">
        <v>34650</v>
      </c>
      <c r="T54" s="317">
        <v>1</v>
      </c>
      <c r="U54" s="316" t="s">
        <v>18</v>
      </c>
      <c r="V54" s="316" t="s">
        <v>18</v>
      </c>
      <c r="W54" s="316" t="s">
        <v>18</v>
      </c>
      <c r="X54" s="316" t="s">
        <v>18</v>
      </c>
      <c r="Y54" s="316" t="s">
        <v>18</v>
      </c>
      <c r="Z54" s="316" t="s">
        <v>18</v>
      </c>
    </row>
    <row r="55" spans="1:26" x14ac:dyDescent="0.25">
      <c r="A55" s="314">
        <v>74</v>
      </c>
      <c r="B55" s="315">
        <v>46142</v>
      </c>
      <c r="C55" s="316" t="s">
        <v>18</v>
      </c>
      <c r="D55" s="316" t="s">
        <v>18</v>
      </c>
      <c r="E55" s="316" t="s">
        <v>18</v>
      </c>
      <c r="F55" s="316">
        <v>500</v>
      </c>
      <c r="G55" s="316">
        <v>180000</v>
      </c>
      <c r="H55" s="316">
        <v>1</v>
      </c>
      <c r="I55" s="317">
        <v>5087</v>
      </c>
      <c r="J55" s="318">
        <v>7111626</v>
      </c>
      <c r="K55" s="317">
        <v>10</v>
      </c>
      <c r="L55" s="316" t="s">
        <v>18</v>
      </c>
      <c r="M55" s="316" t="s">
        <v>18</v>
      </c>
      <c r="N55" s="316" t="s">
        <v>18</v>
      </c>
      <c r="O55" s="317">
        <v>1000</v>
      </c>
      <c r="P55" s="318">
        <v>2090000</v>
      </c>
      <c r="Q55" s="317">
        <v>4</v>
      </c>
      <c r="R55" s="317" t="s">
        <v>18</v>
      </c>
      <c r="S55" s="318" t="s">
        <v>18</v>
      </c>
      <c r="T55" s="317" t="s">
        <v>18</v>
      </c>
      <c r="U55" s="316" t="s">
        <v>18</v>
      </c>
      <c r="V55" s="316" t="s">
        <v>18</v>
      </c>
      <c r="W55" s="316" t="s">
        <v>18</v>
      </c>
      <c r="X55" s="316" t="s">
        <v>18</v>
      </c>
      <c r="Y55" s="316" t="s">
        <v>18</v>
      </c>
      <c r="Z55" s="316" t="s">
        <v>18</v>
      </c>
    </row>
    <row r="56" spans="1:26" x14ac:dyDescent="0.25">
      <c r="A56" s="314">
        <v>76</v>
      </c>
      <c r="B56" s="315">
        <v>46145</v>
      </c>
      <c r="C56" s="316" t="s">
        <v>18</v>
      </c>
      <c r="D56" s="316" t="s">
        <v>18</v>
      </c>
      <c r="E56" s="316" t="s">
        <v>18</v>
      </c>
      <c r="F56" s="316" t="s">
        <v>18</v>
      </c>
      <c r="G56" s="316" t="s">
        <v>18</v>
      </c>
      <c r="H56" s="316" t="s">
        <v>18</v>
      </c>
      <c r="I56" s="317">
        <v>8600</v>
      </c>
      <c r="J56" s="318">
        <v>12031400</v>
      </c>
      <c r="K56" s="317">
        <v>13</v>
      </c>
      <c r="L56" s="316" t="s">
        <v>18</v>
      </c>
      <c r="M56" s="316" t="s">
        <v>18</v>
      </c>
      <c r="N56" s="316" t="s">
        <v>18</v>
      </c>
      <c r="O56" s="317">
        <v>15500</v>
      </c>
      <c r="P56" s="318">
        <v>32395000</v>
      </c>
      <c r="Q56" s="317">
        <v>43</v>
      </c>
      <c r="R56" s="317" t="s">
        <v>18</v>
      </c>
      <c r="S56" s="318" t="s">
        <v>18</v>
      </c>
      <c r="T56" s="317" t="s">
        <v>18</v>
      </c>
      <c r="U56" s="316" t="s">
        <v>18</v>
      </c>
      <c r="V56" s="316" t="s">
        <v>18</v>
      </c>
      <c r="W56" s="316" t="s">
        <v>18</v>
      </c>
      <c r="X56" s="316" t="s">
        <v>18</v>
      </c>
      <c r="Y56" s="316" t="s">
        <v>18</v>
      </c>
      <c r="Z56" s="316" t="s">
        <v>18</v>
      </c>
    </row>
    <row r="57" spans="1:26" x14ac:dyDescent="0.25">
      <c r="A57" s="314">
        <v>77</v>
      </c>
      <c r="B57" s="315">
        <v>46147</v>
      </c>
      <c r="C57" s="316">
        <v>230</v>
      </c>
      <c r="D57" s="316">
        <v>79120</v>
      </c>
      <c r="E57" s="316">
        <v>1</v>
      </c>
      <c r="F57" s="316" t="s">
        <v>18</v>
      </c>
      <c r="G57" s="316" t="s">
        <v>18</v>
      </c>
      <c r="H57" s="316" t="s">
        <v>18</v>
      </c>
      <c r="I57" s="317">
        <v>250</v>
      </c>
      <c r="J57" s="318">
        <v>342500</v>
      </c>
      <c r="K57" s="317">
        <v>4</v>
      </c>
      <c r="L57" s="316" t="s">
        <v>18</v>
      </c>
      <c r="M57" s="316" t="s">
        <v>18</v>
      </c>
      <c r="N57" s="316" t="s">
        <v>18</v>
      </c>
      <c r="O57" s="317">
        <v>25000</v>
      </c>
      <c r="P57" s="318">
        <v>52250000</v>
      </c>
      <c r="Q57" s="317">
        <v>50</v>
      </c>
      <c r="R57" s="317">
        <v>50</v>
      </c>
      <c r="S57" s="318">
        <v>22250</v>
      </c>
      <c r="T57" s="317">
        <v>1</v>
      </c>
      <c r="U57" s="316" t="s">
        <v>18</v>
      </c>
      <c r="V57" s="316" t="s">
        <v>18</v>
      </c>
      <c r="W57" s="316" t="s">
        <v>18</v>
      </c>
      <c r="X57" s="316">
        <v>90</v>
      </c>
      <c r="Y57" s="316">
        <v>76500</v>
      </c>
      <c r="Z57" s="316">
        <v>1</v>
      </c>
    </row>
    <row r="58" spans="1:26" x14ac:dyDescent="0.25">
      <c r="A58" s="314">
        <v>78</v>
      </c>
      <c r="B58" s="315">
        <v>46149</v>
      </c>
      <c r="C58" s="316">
        <v>580</v>
      </c>
      <c r="D58" s="316">
        <v>199520</v>
      </c>
      <c r="E58" s="316">
        <v>1</v>
      </c>
      <c r="F58" s="316" t="s">
        <v>18</v>
      </c>
      <c r="G58" s="316" t="s">
        <v>18</v>
      </c>
      <c r="H58" s="316" t="s">
        <v>18</v>
      </c>
      <c r="I58" s="317">
        <v>20801</v>
      </c>
      <c r="J58" s="318">
        <v>29079798</v>
      </c>
      <c r="K58" s="317">
        <v>35</v>
      </c>
      <c r="L58" s="316">
        <v>90</v>
      </c>
      <c r="M58" s="316">
        <v>225540</v>
      </c>
      <c r="N58" s="316">
        <v>3</v>
      </c>
      <c r="O58" s="317">
        <v>11000</v>
      </c>
      <c r="P58" s="318">
        <v>22990000</v>
      </c>
      <c r="Q58" s="317">
        <v>20</v>
      </c>
      <c r="R58" s="317" t="s">
        <v>18</v>
      </c>
      <c r="S58" s="318" t="s">
        <v>18</v>
      </c>
      <c r="T58" s="317" t="s">
        <v>18</v>
      </c>
      <c r="U58" s="316" t="s">
        <v>18</v>
      </c>
      <c r="V58" s="316" t="s">
        <v>18</v>
      </c>
      <c r="W58" s="316" t="s">
        <v>18</v>
      </c>
      <c r="X58" s="316" t="s">
        <v>18</v>
      </c>
      <c r="Y58" s="316" t="s">
        <v>18</v>
      </c>
      <c r="Z58" s="316" t="s">
        <v>18</v>
      </c>
    </row>
    <row r="59" spans="1:26" x14ac:dyDescent="0.25">
      <c r="A59" s="314">
        <v>79</v>
      </c>
      <c r="B59" s="315">
        <v>46152</v>
      </c>
      <c r="C59" s="316">
        <v>14500</v>
      </c>
      <c r="D59" s="316">
        <v>5002500</v>
      </c>
      <c r="E59" s="316">
        <v>2</v>
      </c>
      <c r="F59" s="316" t="s">
        <v>18</v>
      </c>
      <c r="G59" s="316" t="s">
        <v>18</v>
      </c>
      <c r="H59" s="316" t="s">
        <v>18</v>
      </c>
      <c r="I59" s="317">
        <v>11187</v>
      </c>
      <c r="J59" s="318">
        <v>15639426</v>
      </c>
      <c r="K59" s="317">
        <v>17</v>
      </c>
      <c r="L59" s="316" t="s">
        <v>18</v>
      </c>
      <c r="M59" s="316" t="s">
        <v>18</v>
      </c>
      <c r="N59" s="316" t="s">
        <v>18</v>
      </c>
      <c r="O59" s="317">
        <v>15917</v>
      </c>
      <c r="P59" s="318">
        <v>33266530</v>
      </c>
      <c r="Q59" s="317">
        <v>33</v>
      </c>
      <c r="R59" s="317" t="s">
        <v>18</v>
      </c>
      <c r="S59" s="318" t="s">
        <v>18</v>
      </c>
      <c r="T59" s="317" t="s">
        <v>18</v>
      </c>
      <c r="U59" s="316" t="s">
        <v>18</v>
      </c>
      <c r="V59" s="316" t="s">
        <v>18</v>
      </c>
      <c r="W59" s="316" t="s">
        <v>18</v>
      </c>
      <c r="X59" s="316" t="s">
        <v>18</v>
      </c>
      <c r="Y59" s="316" t="s">
        <v>18</v>
      </c>
      <c r="Z59" s="316" t="s">
        <v>18</v>
      </c>
    </row>
    <row r="60" spans="1:26" x14ac:dyDescent="0.25">
      <c r="A60" s="314">
        <v>82</v>
      </c>
      <c r="B60" s="315">
        <v>46154</v>
      </c>
      <c r="C60" s="316">
        <v>4000</v>
      </c>
      <c r="D60" s="316">
        <v>1380000</v>
      </c>
      <c r="E60" s="316">
        <v>1</v>
      </c>
      <c r="F60" s="316" t="s">
        <v>18</v>
      </c>
      <c r="G60" s="316" t="s">
        <v>18</v>
      </c>
      <c r="H60" s="316" t="s">
        <v>18</v>
      </c>
      <c r="I60" s="317">
        <v>33648</v>
      </c>
      <c r="J60" s="318">
        <v>47039904</v>
      </c>
      <c r="K60" s="317">
        <v>36</v>
      </c>
      <c r="L60" s="316" t="s">
        <v>18</v>
      </c>
      <c r="M60" s="316" t="s">
        <v>18</v>
      </c>
      <c r="N60" s="316" t="s">
        <v>18</v>
      </c>
      <c r="O60" s="317">
        <v>3214</v>
      </c>
      <c r="P60" s="318">
        <v>6717260</v>
      </c>
      <c r="Q60" s="317">
        <v>20</v>
      </c>
      <c r="R60" s="317" t="s">
        <v>18</v>
      </c>
      <c r="S60" s="318" t="s">
        <v>18</v>
      </c>
      <c r="T60" s="317" t="s">
        <v>18</v>
      </c>
      <c r="U60" s="316" t="s">
        <v>18</v>
      </c>
      <c r="V60" s="316" t="s">
        <v>18</v>
      </c>
      <c r="W60" s="316" t="s">
        <v>18</v>
      </c>
      <c r="X60" s="316" t="s">
        <v>18</v>
      </c>
      <c r="Y60" s="316" t="s">
        <v>18</v>
      </c>
      <c r="Z60" s="316" t="s">
        <v>18</v>
      </c>
    </row>
    <row r="61" spans="1:26" x14ac:dyDescent="0.25">
      <c r="A61" s="314">
        <v>83</v>
      </c>
      <c r="B61" s="315">
        <v>46156</v>
      </c>
      <c r="C61" s="316" t="s">
        <v>18</v>
      </c>
      <c r="D61" s="316" t="s">
        <v>18</v>
      </c>
      <c r="E61" s="316" t="s">
        <v>18</v>
      </c>
      <c r="F61" s="316" t="s">
        <v>18</v>
      </c>
      <c r="G61" s="316" t="s">
        <v>18</v>
      </c>
      <c r="H61" s="316" t="s">
        <v>18</v>
      </c>
      <c r="I61" s="317">
        <v>28500</v>
      </c>
      <c r="J61" s="318">
        <v>39871500</v>
      </c>
      <c r="K61" s="317">
        <v>31</v>
      </c>
      <c r="L61" s="316">
        <v>500</v>
      </c>
      <c r="M61" s="316">
        <v>1253000</v>
      </c>
      <c r="N61" s="316">
        <v>3</v>
      </c>
      <c r="O61" s="317">
        <v>45000</v>
      </c>
      <c r="P61" s="318">
        <v>94050000</v>
      </c>
      <c r="Q61" s="317">
        <v>45</v>
      </c>
      <c r="R61" s="317" t="s">
        <v>18</v>
      </c>
      <c r="S61" s="318" t="s">
        <v>18</v>
      </c>
      <c r="T61" s="317" t="s">
        <v>18</v>
      </c>
      <c r="U61" s="316" t="s">
        <v>18</v>
      </c>
      <c r="V61" s="316" t="s">
        <v>18</v>
      </c>
      <c r="W61" s="316" t="s">
        <v>18</v>
      </c>
      <c r="X61" s="316" t="s">
        <v>18</v>
      </c>
      <c r="Y61" s="316" t="s">
        <v>18</v>
      </c>
      <c r="Z61" s="316" t="s">
        <v>18</v>
      </c>
    </row>
    <row r="62" spans="1:26" x14ac:dyDescent="0.25">
      <c r="A62" s="314">
        <v>85</v>
      </c>
      <c r="B62" s="315">
        <v>46159</v>
      </c>
      <c r="C62" s="316" t="s">
        <v>18</v>
      </c>
      <c r="D62" s="316" t="s">
        <v>18</v>
      </c>
      <c r="E62" s="316" t="s">
        <v>18</v>
      </c>
      <c r="F62" s="316" t="s">
        <v>18</v>
      </c>
      <c r="G62" s="316" t="s">
        <v>18</v>
      </c>
      <c r="H62" s="316" t="s">
        <v>18</v>
      </c>
      <c r="I62" s="317" t="s">
        <v>18</v>
      </c>
      <c r="J62" s="318" t="s">
        <v>18</v>
      </c>
      <c r="K62" s="317" t="s">
        <v>18</v>
      </c>
      <c r="L62" s="316" t="s">
        <v>18</v>
      </c>
      <c r="M62" s="316" t="s">
        <v>18</v>
      </c>
      <c r="N62" s="316" t="s">
        <v>18</v>
      </c>
      <c r="O62" s="317">
        <v>1400</v>
      </c>
      <c r="P62" s="318">
        <v>2926000</v>
      </c>
      <c r="Q62" s="317">
        <v>7</v>
      </c>
      <c r="R62" s="317" t="s">
        <v>18</v>
      </c>
      <c r="S62" s="318" t="s">
        <v>18</v>
      </c>
      <c r="T62" s="317" t="s">
        <v>18</v>
      </c>
      <c r="U62" s="316" t="s">
        <v>18</v>
      </c>
      <c r="V62" s="316" t="s">
        <v>18</v>
      </c>
      <c r="W62" s="316" t="s">
        <v>18</v>
      </c>
      <c r="X62" s="316" t="s">
        <v>18</v>
      </c>
      <c r="Y62" s="316" t="s">
        <v>18</v>
      </c>
      <c r="Z62" s="316" t="s">
        <v>18</v>
      </c>
    </row>
    <row r="63" spans="1:26" x14ac:dyDescent="0.25">
      <c r="A63" s="314">
        <v>87</v>
      </c>
      <c r="B63" s="315">
        <v>46161</v>
      </c>
      <c r="C63" s="316">
        <v>150</v>
      </c>
      <c r="D63" s="316">
        <v>51750</v>
      </c>
      <c r="E63" s="316">
        <v>1</v>
      </c>
      <c r="F63" s="316" t="s">
        <v>18</v>
      </c>
      <c r="G63" s="316" t="s">
        <v>18</v>
      </c>
      <c r="H63" s="316" t="s">
        <v>18</v>
      </c>
      <c r="I63" s="317">
        <v>14549</v>
      </c>
      <c r="J63" s="318">
        <v>20324953</v>
      </c>
      <c r="K63" s="317">
        <v>19</v>
      </c>
      <c r="L63" s="316" t="s">
        <v>18</v>
      </c>
      <c r="M63" s="316" t="s">
        <v>18</v>
      </c>
      <c r="N63" s="316" t="s">
        <v>18</v>
      </c>
      <c r="O63" s="317">
        <v>1596</v>
      </c>
      <c r="P63" s="318">
        <v>3302124</v>
      </c>
      <c r="Q63" s="317">
        <v>16</v>
      </c>
      <c r="R63" s="317" t="s">
        <v>18</v>
      </c>
      <c r="S63" s="318" t="s">
        <v>18</v>
      </c>
      <c r="T63" s="317" t="s">
        <v>18</v>
      </c>
      <c r="U63" s="316" t="s">
        <v>18</v>
      </c>
      <c r="V63" s="316" t="s">
        <v>18</v>
      </c>
      <c r="W63" s="316" t="s">
        <v>18</v>
      </c>
      <c r="X63" s="316">
        <v>410</v>
      </c>
      <c r="Y63" s="316">
        <v>319800</v>
      </c>
      <c r="Z63" s="316">
        <v>1</v>
      </c>
    </row>
    <row r="64" spans="1:26" x14ac:dyDescent="0.25">
      <c r="A64" s="314">
        <v>88</v>
      </c>
      <c r="B64" s="315">
        <v>46163</v>
      </c>
      <c r="C64" s="316">
        <v>3200</v>
      </c>
      <c r="D64" s="316">
        <v>1100800</v>
      </c>
      <c r="E64" s="316">
        <v>1</v>
      </c>
      <c r="F64" s="316">
        <v>10</v>
      </c>
      <c r="G64" s="316">
        <v>3600</v>
      </c>
      <c r="H64" s="316">
        <v>1</v>
      </c>
      <c r="I64" s="317">
        <v>22238</v>
      </c>
      <c r="J64" s="318">
        <v>31066486</v>
      </c>
      <c r="K64" s="317">
        <v>14</v>
      </c>
      <c r="L64" s="316">
        <v>150</v>
      </c>
      <c r="M64" s="316">
        <v>375900</v>
      </c>
      <c r="N64" s="316">
        <v>1</v>
      </c>
      <c r="O64" s="317">
        <v>1350</v>
      </c>
      <c r="P64" s="318">
        <v>2793150</v>
      </c>
      <c r="Q64" s="317">
        <v>17</v>
      </c>
      <c r="R64" s="317">
        <v>840</v>
      </c>
      <c r="S64" s="318">
        <v>373800</v>
      </c>
      <c r="T64" s="317">
        <v>2</v>
      </c>
      <c r="U64" s="316" t="s">
        <v>18</v>
      </c>
      <c r="V64" s="316" t="s">
        <v>18</v>
      </c>
      <c r="W64" s="316" t="s">
        <v>18</v>
      </c>
      <c r="X64" s="316">
        <v>1317</v>
      </c>
      <c r="Y64" s="316">
        <v>1027260</v>
      </c>
      <c r="Z64" s="316">
        <v>1</v>
      </c>
    </row>
    <row r="65" spans="1:26" x14ac:dyDescent="0.25">
      <c r="A65" s="314">
        <v>90</v>
      </c>
      <c r="B65" s="315">
        <v>46166</v>
      </c>
      <c r="C65" s="316" t="s">
        <v>18</v>
      </c>
      <c r="D65" s="316" t="s">
        <v>18</v>
      </c>
      <c r="E65" s="316" t="s">
        <v>18</v>
      </c>
      <c r="F65" s="316" t="s">
        <v>18</v>
      </c>
      <c r="G65" s="316" t="s">
        <v>18</v>
      </c>
      <c r="H65" s="316" t="s">
        <v>18</v>
      </c>
      <c r="I65" s="317">
        <v>3143</v>
      </c>
      <c r="J65" s="318">
        <v>4390771</v>
      </c>
      <c r="K65" s="317">
        <v>3</v>
      </c>
      <c r="L65" s="316" t="s">
        <v>18</v>
      </c>
      <c r="M65" s="316" t="s">
        <v>18</v>
      </c>
      <c r="N65" s="316" t="s">
        <v>18</v>
      </c>
      <c r="O65" s="317">
        <v>2231</v>
      </c>
      <c r="P65" s="318">
        <v>4618170</v>
      </c>
      <c r="Q65" s="317">
        <v>31</v>
      </c>
      <c r="R65" s="317">
        <v>210</v>
      </c>
      <c r="S65" s="318">
        <v>93450</v>
      </c>
      <c r="T65" s="317">
        <v>2</v>
      </c>
      <c r="U65" s="316" t="s">
        <v>18</v>
      </c>
      <c r="V65" s="316" t="s">
        <v>18</v>
      </c>
      <c r="W65" s="316" t="s">
        <v>18</v>
      </c>
      <c r="X65" s="316" t="s">
        <v>18</v>
      </c>
      <c r="Y65" s="316" t="s">
        <v>18</v>
      </c>
      <c r="Z65" s="316" t="s">
        <v>18</v>
      </c>
    </row>
    <row r="66" spans="1:26" x14ac:dyDescent="0.25">
      <c r="A66" s="314">
        <v>91</v>
      </c>
      <c r="B66" s="315">
        <v>46168</v>
      </c>
      <c r="C66" s="316" t="s">
        <v>18</v>
      </c>
      <c r="D66" s="316" t="s">
        <v>18</v>
      </c>
      <c r="E66" s="316" t="s">
        <v>18</v>
      </c>
      <c r="F66" s="316" t="s">
        <v>18</v>
      </c>
      <c r="G66" s="316" t="s">
        <v>18</v>
      </c>
      <c r="H66" s="316" t="s">
        <v>18</v>
      </c>
      <c r="I66" s="317">
        <v>2600</v>
      </c>
      <c r="J66" s="318">
        <v>3634800</v>
      </c>
      <c r="K66" s="317">
        <v>4</v>
      </c>
      <c r="L66" s="316">
        <v>20</v>
      </c>
      <c r="M66" s="316">
        <v>50200</v>
      </c>
      <c r="N66" s="316">
        <v>1</v>
      </c>
      <c r="O66" s="317">
        <v>2000</v>
      </c>
      <c r="P66" s="318">
        <v>4140000</v>
      </c>
      <c r="Q66" s="317">
        <v>7</v>
      </c>
      <c r="R66" s="317" t="s">
        <v>18</v>
      </c>
      <c r="S66" s="318" t="s">
        <v>18</v>
      </c>
      <c r="T66" s="317" t="s">
        <v>18</v>
      </c>
      <c r="U66" s="316" t="s">
        <v>18</v>
      </c>
      <c r="V66" s="316" t="s">
        <v>18</v>
      </c>
      <c r="W66" s="316" t="s">
        <v>18</v>
      </c>
      <c r="X66" s="316" t="s">
        <v>18</v>
      </c>
      <c r="Y66" s="316" t="s">
        <v>18</v>
      </c>
      <c r="Z66" s="316" t="s">
        <v>18</v>
      </c>
    </row>
    <row r="67" spans="1:26" x14ac:dyDescent="0.25">
      <c r="A67" s="314">
        <v>93</v>
      </c>
      <c r="B67" s="315">
        <v>46173</v>
      </c>
      <c r="C67" s="316" t="s">
        <v>18</v>
      </c>
      <c r="D67" s="316" t="s">
        <v>18</v>
      </c>
      <c r="E67" s="316" t="s">
        <v>18</v>
      </c>
      <c r="F67" s="316" t="s">
        <v>18</v>
      </c>
      <c r="G67" s="316" t="s">
        <v>18</v>
      </c>
      <c r="H67" s="316" t="s">
        <v>18</v>
      </c>
      <c r="I67" s="317">
        <v>33000</v>
      </c>
      <c r="J67" s="318">
        <v>46134000</v>
      </c>
      <c r="K67" s="317">
        <v>12</v>
      </c>
      <c r="L67" s="316" t="s">
        <v>18</v>
      </c>
      <c r="M67" s="316" t="s">
        <v>18</v>
      </c>
      <c r="N67" s="316" t="s">
        <v>18</v>
      </c>
      <c r="O67" s="317">
        <v>11316</v>
      </c>
      <c r="P67" s="318">
        <v>23401488</v>
      </c>
      <c r="Q67" s="317">
        <v>21</v>
      </c>
      <c r="R67" s="317">
        <v>20</v>
      </c>
      <c r="S67" s="318">
        <v>8900</v>
      </c>
      <c r="T67" s="317">
        <v>1</v>
      </c>
      <c r="U67" s="316" t="s">
        <v>18</v>
      </c>
      <c r="V67" s="316" t="s">
        <v>18</v>
      </c>
      <c r="W67" s="316" t="s">
        <v>18</v>
      </c>
      <c r="X67" s="316" t="s">
        <v>18</v>
      </c>
      <c r="Y67" s="316" t="s">
        <v>18</v>
      </c>
      <c r="Z67" s="316" t="s">
        <v>18</v>
      </c>
    </row>
    <row r="68" spans="1:26" x14ac:dyDescent="0.25">
      <c r="A68" s="319">
        <v>94</v>
      </c>
      <c r="B68" s="320">
        <v>46175</v>
      </c>
      <c r="C68" s="321" t="s">
        <v>18</v>
      </c>
      <c r="D68" s="321" t="s">
        <v>18</v>
      </c>
      <c r="E68" s="321" t="s">
        <v>18</v>
      </c>
      <c r="F68" s="321" t="s">
        <v>18</v>
      </c>
      <c r="G68" s="321" t="s">
        <v>18</v>
      </c>
      <c r="H68" s="321" t="s">
        <v>18</v>
      </c>
      <c r="I68" s="322">
        <v>10600</v>
      </c>
      <c r="J68" s="323">
        <v>14818800</v>
      </c>
      <c r="K68" s="322">
        <v>13</v>
      </c>
      <c r="L68" s="322">
        <v>1530</v>
      </c>
      <c r="M68" s="323">
        <v>3840300</v>
      </c>
      <c r="N68" s="322">
        <v>1</v>
      </c>
      <c r="O68" s="322">
        <v>10000</v>
      </c>
      <c r="P68" s="323">
        <v>20690000</v>
      </c>
      <c r="Q68" s="322">
        <v>11</v>
      </c>
      <c r="R68" s="321" t="s">
        <v>18</v>
      </c>
      <c r="S68" s="321" t="s">
        <v>18</v>
      </c>
      <c r="T68" s="321" t="s">
        <v>18</v>
      </c>
      <c r="U68" s="321" t="s">
        <v>18</v>
      </c>
      <c r="V68" s="321" t="s">
        <v>18</v>
      </c>
      <c r="W68" s="321" t="s">
        <v>18</v>
      </c>
      <c r="X68" s="321" t="s">
        <v>18</v>
      </c>
      <c r="Y68" s="321" t="s">
        <v>18</v>
      </c>
      <c r="Z68" s="321" t="s">
        <v>18</v>
      </c>
    </row>
    <row r="69" spans="1:26" x14ac:dyDescent="0.25">
      <c r="A69" s="314">
        <v>96</v>
      </c>
      <c r="B69" s="315">
        <v>46177</v>
      </c>
      <c r="C69" s="316" t="s">
        <v>18</v>
      </c>
      <c r="D69" s="316" t="s">
        <v>18</v>
      </c>
      <c r="E69" s="316" t="s">
        <v>18</v>
      </c>
      <c r="F69" s="316" t="s">
        <v>18</v>
      </c>
      <c r="G69" s="316" t="s">
        <v>18</v>
      </c>
      <c r="H69" s="316" t="s">
        <v>18</v>
      </c>
      <c r="I69" s="317">
        <v>9227</v>
      </c>
      <c r="J69" s="318">
        <v>12899346</v>
      </c>
      <c r="K69" s="317">
        <v>19</v>
      </c>
      <c r="L69" s="317">
        <v>18470</v>
      </c>
      <c r="M69" s="318">
        <v>46359700</v>
      </c>
      <c r="N69" s="317">
        <v>1</v>
      </c>
      <c r="O69" s="317">
        <v>15</v>
      </c>
      <c r="P69" s="318">
        <v>31005</v>
      </c>
      <c r="Q69" s="317">
        <v>1</v>
      </c>
      <c r="R69" s="316" t="s">
        <v>18</v>
      </c>
      <c r="S69" s="316" t="s">
        <v>18</v>
      </c>
      <c r="T69" s="316" t="s">
        <v>18</v>
      </c>
      <c r="U69" s="316" t="s">
        <v>18</v>
      </c>
      <c r="V69" s="316" t="s">
        <v>18</v>
      </c>
      <c r="W69" s="316" t="s">
        <v>18</v>
      </c>
      <c r="X69" s="316" t="s">
        <v>18</v>
      </c>
      <c r="Y69" s="316" t="s">
        <v>18</v>
      </c>
      <c r="Z69" s="316" t="s">
        <v>18</v>
      </c>
    </row>
    <row r="70" spans="1:26" x14ac:dyDescent="0.25">
      <c r="A70" s="319">
        <v>97</v>
      </c>
      <c r="B70" s="320">
        <v>46180</v>
      </c>
      <c r="C70" s="321" t="s">
        <v>18</v>
      </c>
      <c r="D70" s="321" t="s">
        <v>18</v>
      </c>
      <c r="E70" s="321" t="s">
        <v>18</v>
      </c>
      <c r="F70" s="321" t="s">
        <v>18</v>
      </c>
      <c r="G70" s="321" t="s">
        <v>18</v>
      </c>
      <c r="H70" s="321" t="s">
        <v>18</v>
      </c>
      <c r="I70" s="322">
        <v>7900</v>
      </c>
      <c r="J70" s="323">
        <v>11036300</v>
      </c>
      <c r="K70" s="322">
        <v>13</v>
      </c>
      <c r="L70" s="321" t="s">
        <v>18</v>
      </c>
      <c r="M70" s="321" t="s">
        <v>18</v>
      </c>
      <c r="N70" s="321" t="s">
        <v>18</v>
      </c>
      <c r="O70" s="322">
        <v>8566</v>
      </c>
      <c r="P70" s="323">
        <v>17705922</v>
      </c>
      <c r="Q70" s="322">
        <v>18</v>
      </c>
      <c r="R70" s="321" t="s">
        <v>18</v>
      </c>
      <c r="S70" s="321" t="s">
        <v>18</v>
      </c>
      <c r="T70" s="321" t="s">
        <v>18</v>
      </c>
      <c r="U70" s="321" t="s">
        <v>18</v>
      </c>
      <c r="V70" s="321" t="s">
        <v>18</v>
      </c>
      <c r="W70" s="321" t="s">
        <v>18</v>
      </c>
      <c r="X70" s="321" t="s">
        <v>18</v>
      </c>
      <c r="Y70" s="321" t="s">
        <v>18</v>
      </c>
      <c r="Z70" s="321" t="s">
        <v>18</v>
      </c>
    </row>
    <row r="71" spans="1:26" x14ac:dyDescent="0.25">
      <c r="A71" s="314">
        <v>99</v>
      </c>
      <c r="B71" s="315">
        <v>46182</v>
      </c>
      <c r="C71" s="316" t="s">
        <v>18</v>
      </c>
      <c r="D71" s="316" t="s">
        <v>18</v>
      </c>
      <c r="E71" s="316" t="s">
        <v>18</v>
      </c>
      <c r="F71" s="316" t="s">
        <v>18</v>
      </c>
      <c r="G71" s="316" t="s">
        <v>18</v>
      </c>
      <c r="H71" s="316" t="s">
        <v>18</v>
      </c>
      <c r="I71" s="316" t="s">
        <v>18</v>
      </c>
      <c r="J71" s="316" t="s">
        <v>18</v>
      </c>
      <c r="K71" s="316" t="s">
        <v>18</v>
      </c>
      <c r="L71" s="316" t="s">
        <v>18</v>
      </c>
      <c r="M71" s="316" t="s">
        <v>18</v>
      </c>
      <c r="N71" s="316" t="s">
        <v>18</v>
      </c>
      <c r="O71" s="317">
        <v>1467</v>
      </c>
      <c r="P71" s="318">
        <v>3032289</v>
      </c>
      <c r="Q71" s="317">
        <v>4</v>
      </c>
      <c r="R71" s="317">
        <v>170</v>
      </c>
      <c r="S71" s="318">
        <v>75650</v>
      </c>
      <c r="T71" s="317">
        <v>1</v>
      </c>
      <c r="U71" s="316" t="s">
        <v>18</v>
      </c>
      <c r="V71" s="316" t="s">
        <v>18</v>
      </c>
      <c r="W71" s="316" t="s">
        <v>18</v>
      </c>
      <c r="X71" s="316" t="s">
        <v>18</v>
      </c>
      <c r="Y71" s="316" t="s">
        <v>18</v>
      </c>
      <c r="Z71" s="316" t="s">
        <v>18</v>
      </c>
    </row>
    <row r="72" spans="1:26" x14ac:dyDescent="0.25">
      <c r="A72" s="319">
        <v>100</v>
      </c>
      <c r="B72" s="320">
        <v>46184</v>
      </c>
      <c r="C72" s="322">
        <v>1100</v>
      </c>
      <c r="D72" s="323">
        <v>379500</v>
      </c>
      <c r="E72" s="322">
        <v>1</v>
      </c>
      <c r="F72" s="321" t="s">
        <v>18</v>
      </c>
      <c r="G72" s="321" t="s">
        <v>18</v>
      </c>
      <c r="H72" s="321" t="s">
        <v>18</v>
      </c>
      <c r="I72" s="322">
        <v>952</v>
      </c>
      <c r="J72" s="323">
        <v>1328040</v>
      </c>
      <c r="K72" s="322">
        <v>9</v>
      </c>
      <c r="L72" s="322">
        <v>1000</v>
      </c>
      <c r="M72" s="323">
        <v>2510000</v>
      </c>
      <c r="N72" s="322">
        <v>1</v>
      </c>
      <c r="O72" s="322">
        <v>56725</v>
      </c>
      <c r="P72" s="323">
        <v>117364025</v>
      </c>
      <c r="Q72" s="322">
        <v>68</v>
      </c>
      <c r="R72" s="321" t="s">
        <v>18</v>
      </c>
      <c r="S72" s="321" t="s">
        <v>18</v>
      </c>
      <c r="T72" s="321" t="s">
        <v>18</v>
      </c>
      <c r="U72" s="321" t="s">
        <v>18</v>
      </c>
      <c r="V72" s="321" t="s">
        <v>18</v>
      </c>
      <c r="W72" s="321" t="s">
        <v>18</v>
      </c>
      <c r="X72" s="321" t="s">
        <v>18</v>
      </c>
      <c r="Y72" s="321" t="s">
        <v>18</v>
      </c>
      <c r="Z72" s="321" t="s">
        <v>18</v>
      </c>
    </row>
    <row r="73" spans="1:26" x14ac:dyDescent="0.25">
      <c r="A73" s="314">
        <v>101</v>
      </c>
      <c r="B73" s="315">
        <v>46187</v>
      </c>
      <c r="C73" s="316" t="s">
        <v>18</v>
      </c>
      <c r="D73" s="316" t="s">
        <v>18</v>
      </c>
      <c r="E73" s="316" t="s">
        <v>18</v>
      </c>
      <c r="F73" s="316" t="s">
        <v>18</v>
      </c>
      <c r="G73" s="316" t="s">
        <v>18</v>
      </c>
      <c r="H73" s="316" t="s">
        <v>18</v>
      </c>
      <c r="I73" s="317">
        <v>5020</v>
      </c>
      <c r="J73" s="318">
        <v>7012940</v>
      </c>
      <c r="K73" s="317">
        <v>5</v>
      </c>
      <c r="L73" s="316" t="s">
        <v>18</v>
      </c>
      <c r="M73" s="316" t="s">
        <v>18</v>
      </c>
      <c r="N73" s="316" t="s">
        <v>18</v>
      </c>
      <c r="O73" s="317">
        <v>75870</v>
      </c>
      <c r="P73" s="318">
        <v>158568300</v>
      </c>
      <c r="Q73" s="317">
        <v>100</v>
      </c>
      <c r="R73" s="316" t="s">
        <v>18</v>
      </c>
      <c r="S73" s="316" t="s">
        <v>18</v>
      </c>
      <c r="T73" s="316" t="s">
        <v>18</v>
      </c>
      <c r="U73" s="316" t="s">
        <v>18</v>
      </c>
      <c r="V73" s="316" t="s">
        <v>18</v>
      </c>
      <c r="W73" s="316" t="s">
        <v>18</v>
      </c>
      <c r="X73" s="316" t="s">
        <v>18</v>
      </c>
      <c r="Y73" s="316" t="s">
        <v>18</v>
      </c>
      <c r="Z73" s="316" t="s">
        <v>18</v>
      </c>
    </row>
    <row r="74" spans="1:26" x14ac:dyDescent="0.25">
      <c r="A74" s="319">
        <v>103</v>
      </c>
      <c r="B74" s="320">
        <v>46190</v>
      </c>
      <c r="C74" s="321" t="s">
        <v>18</v>
      </c>
      <c r="D74" s="321" t="s">
        <v>18</v>
      </c>
      <c r="E74" s="321" t="s">
        <v>18</v>
      </c>
      <c r="F74" s="321" t="s">
        <v>18</v>
      </c>
      <c r="G74" s="321" t="s">
        <v>18</v>
      </c>
      <c r="H74" s="321" t="s">
        <v>18</v>
      </c>
      <c r="I74" s="322">
        <v>77595</v>
      </c>
      <c r="J74" s="323">
        <v>108477810</v>
      </c>
      <c r="K74" s="322">
        <v>66</v>
      </c>
      <c r="L74" s="322">
        <v>1191</v>
      </c>
      <c r="M74" s="323">
        <v>2989410</v>
      </c>
      <c r="N74" s="322">
        <v>3</v>
      </c>
      <c r="O74" s="322">
        <v>27878</v>
      </c>
      <c r="P74" s="323">
        <v>61164332</v>
      </c>
      <c r="Q74" s="322">
        <v>115</v>
      </c>
      <c r="R74" s="321" t="s">
        <v>18</v>
      </c>
      <c r="S74" s="321" t="s">
        <v>18</v>
      </c>
      <c r="T74" s="321" t="s">
        <v>18</v>
      </c>
      <c r="U74" s="321" t="s">
        <v>18</v>
      </c>
      <c r="V74" s="321" t="s">
        <v>18</v>
      </c>
      <c r="W74" s="321" t="s">
        <v>18</v>
      </c>
      <c r="X74" s="321" t="s">
        <v>18</v>
      </c>
      <c r="Y74" s="321" t="s">
        <v>18</v>
      </c>
      <c r="Z74" s="321" t="s">
        <v>18</v>
      </c>
    </row>
    <row r="75" spans="1:26" x14ac:dyDescent="0.25">
      <c r="A75" s="314">
        <v>104</v>
      </c>
      <c r="B75" s="315">
        <v>46191</v>
      </c>
      <c r="C75" s="317">
        <v>12240</v>
      </c>
      <c r="D75" s="318">
        <v>4210560</v>
      </c>
      <c r="E75" s="317">
        <v>2</v>
      </c>
      <c r="F75" s="316" t="s">
        <v>18</v>
      </c>
      <c r="G75" s="316" t="s">
        <v>18</v>
      </c>
      <c r="H75" s="316" t="s">
        <v>18</v>
      </c>
      <c r="I75" s="317">
        <v>1615</v>
      </c>
      <c r="J75" s="318">
        <v>2257770</v>
      </c>
      <c r="K75" s="317">
        <v>7</v>
      </c>
      <c r="L75" s="316" t="s">
        <v>18</v>
      </c>
      <c r="M75" s="316" t="s">
        <v>18</v>
      </c>
      <c r="N75" s="316" t="s">
        <v>18</v>
      </c>
      <c r="O75" s="317">
        <v>52313</v>
      </c>
      <c r="P75" s="318">
        <v>120319900</v>
      </c>
      <c r="Q75" s="317">
        <v>70</v>
      </c>
      <c r="R75" s="316" t="s">
        <v>18</v>
      </c>
      <c r="S75" s="316" t="s">
        <v>18</v>
      </c>
      <c r="T75" s="316" t="s">
        <v>18</v>
      </c>
      <c r="U75" s="316" t="s">
        <v>18</v>
      </c>
      <c r="V75" s="316" t="s">
        <v>18</v>
      </c>
      <c r="W75" s="316" t="s">
        <v>18</v>
      </c>
      <c r="X75" s="316" t="s">
        <v>18</v>
      </c>
      <c r="Y75" s="316" t="s">
        <v>18</v>
      </c>
      <c r="Z75" s="316" t="s">
        <v>18</v>
      </c>
    </row>
    <row r="76" spans="1:26" x14ac:dyDescent="0.25">
      <c r="A76" s="319">
        <v>105</v>
      </c>
      <c r="B76" s="320">
        <v>46194</v>
      </c>
      <c r="C76" s="322">
        <v>1100</v>
      </c>
      <c r="D76" s="323">
        <v>378400</v>
      </c>
      <c r="E76" s="322">
        <v>1</v>
      </c>
      <c r="F76" s="321" t="s">
        <v>18</v>
      </c>
      <c r="G76" s="321" t="s">
        <v>18</v>
      </c>
      <c r="H76" s="321" t="s">
        <v>18</v>
      </c>
      <c r="I76" s="322">
        <v>10050</v>
      </c>
      <c r="J76" s="323">
        <v>14070000</v>
      </c>
      <c r="K76" s="322">
        <v>16</v>
      </c>
      <c r="L76" s="321" t="s">
        <v>18</v>
      </c>
      <c r="M76" s="321" t="s">
        <v>18</v>
      </c>
      <c r="N76" s="321" t="s">
        <v>18</v>
      </c>
      <c r="O76" s="322">
        <v>610</v>
      </c>
      <c r="P76" s="323">
        <v>1403000</v>
      </c>
      <c r="Q76" s="322">
        <v>3</v>
      </c>
      <c r="R76" s="321" t="s">
        <v>18</v>
      </c>
      <c r="S76" s="321" t="s">
        <v>18</v>
      </c>
      <c r="T76" s="321" t="s">
        <v>18</v>
      </c>
      <c r="U76" s="321" t="s">
        <v>18</v>
      </c>
      <c r="V76" s="321" t="s">
        <v>18</v>
      </c>
      <c r="W76" s="321" t="s">
        <v>18</v>
      </c>
      <c r="X76" s="321" t="s">
        <v>18</v>
      </c>
      <c r="Y76" s="321" t="s">
        <v>18</v>
      </c>
      <c r="Z76" s="321" t="s">
        <v>18</v>
      </c>
    </row>
    <row r="77" spans="1:26" x14ac:dyDescent="0.25">
      <c r="A77" s="314">
        <v>107</v>
      </c>
      <c r="B77" s="315">
        <v>46196</v>
      </c>
      <c r="C77" s="317">
        <v>999</v>
      </c>
      <c r="D77" s="318">
        <v>343656</v>
      </c>
      <c r="E77" s="317">
        <v>1</v>
      </c>
      <c r="F77" s="316" t="s">
        <v>18</v>
      </c>
      <c r="G77" s="316" t="s">
        <v>18</v>
      </c>
      <c r="H77" s="316" t="s">
        <v>18</v>
      </c>
      <c r="I77" s="316" t="s">
        <v>18</v>
      </c>
      <c r="J77" s="316" t="s">
        <v>18</v>
      </c>
      <c r="K77" s="316" t="s">
        <v>18</v>
      </c>
      <c r="L77" s="316" t="s">
        <v>18</v>
      </c>
      <c r="M77" s="316" t="s">
        <v>18</v>
      </c>
      <c r="N77" s="316" t="s">
        <v>18</v>
      </c>
      <c r="O77" s="316" t="s">
        <v>18</v>
      </c>
      <c r="P77" s="316" t="s">
        <v>18</v>
      </c>
      <c r="Q77" s="316" t="s">
        <v>18</v>
      </c>
      <c r="R77" s="316" t="s">
        <v>18</v>
      </c>
      <c r="S77" s="316" t="s">
        <v>18</v>
      </c>
      <c r="T77" s="316" t="s">
        <v>18</v>
      </c>
      <c r="U77" s="316" t="s">
        <v>18</v>
      </c>
      <c r="V77" s="316" t="s">
        <v>18</v>
      </c>
      <c r="W77" s="316" t="s">
        <v>18</v>
      </c>
      <c r="X77" s="317">
        <v>100</v>
      </c>
      <c r="Y77" s="318">
        <v>78000</v>
      </c>
      <c r="Z77" s="317">
        <v>1</v>
      </c>
    </row>
    <row r="78" spans="1:26" x14ac:dyDescent="0.25">
      <c r="A78" s="319">
        <v>109</v>
      </c>
      <c r="B78" s="320">
        <v>46201</v>
      </c>
      <c r="C78" s="321" t="s">
        <v>18</v>
      </c>
      <c r="D78" s="321" t="s">
        <v>18</v>
      </c>
      <c r="E78" s="321" t="s">
        <v>18</v>
      </c>
      <c r="F78" s="321" t="s">
        <v>18</v>
      </c>
      <c r="G78" s="321" t="s">
        <v>18</v>
      </c>
      <c r="H78" s="321" t="s">
        <v>18</v>
      </c>
      <c r="I78" s="321" t="s">
        <v>18</v>
      </c>
      <c r="J78" s="321" t="s">
        <v>18</v>
      </c>
      <c r="K78" s="321" t="s">
        <v>18</v>
      </c>
      <c r="L78" s="321" t="s">
        <v>18</v>
      </c>
      <c r="M78" s="321" t="s">
        <v>18</v>
      </c>
      <c r="N78" s="321" t="s">
        <v>18</v>
      </c>
      <c r="O78" s="321" t="s">
        <v>18</v>
      </c>
      <c r="P78" s="321" t="s">
        <v>18</v>
      </c>
      <c r="Q78" s="321" t="s">
        <v>18</v>
      </c>
      <c r="R78" s="321" t="s">
        <v>18</v>
      </c>
      <c r="S78" s="321" t="s">
        <v>18</v>
      </c>
      <c r="T78" s="321" t="s">
        <v>18</v>
      </c>
      <c r="U78" s="321" t="s">
        <v>18</v>
      </c>
      <c r="V78" s="321" t="s">
        <v>18</v>
      </c>
      <c r="W78" s="321" t="s">
        <v>18</v>
      </c>
      <c r="X78" s="321" t="s">
        <v>18</v>
      </c>
      <c r="Y78" s="321" t="s">
        <v>18</v>
      </c>
      <c r="Z78" s="321" t="s">
        <v>18</v>
      </c>
    </row>
    <row r="79" spans="1:26" x14ac:dyDescent="0.25">
      <c r="A79" s="314">
        <v>111</v>
      </c>
      <c r="B79" s="315">
        <v>46203</v>
      </c>
      <c r="C79" s="316" t="s">
        <v>18</v>
      </c>
      <c r="D79" s="316" t="s">
        <v>18</v>
      </c>
      <c r="E79" s="316" t="s">
        <v>18</v>
      </c>
      <c r="F79" s="316" t="s">
        <v>18</v>
      </c>
      <c r="G79" s="316" t="s">
        <v>18</v>
      </c>
      <c r="H79" s="316" t="s">
        <v>18</v>
      </c>
      <c r="I79" s="317">
        <v>40203</v>
      </c>
      <c r="J79" s="318">
        <v>56284200</v>
      </c>
      <c r="K79" s="317">
        <v>47</v>
      </c>
      <c r="L79" s="316" t="s">
        <v>18</v>
      </c>
      <c r="M79" s="316" t="s">
        <v>18</v>
      </c>
      <c r="N79" s="316" t="s">
        <v>18</v>
      </c>
      <c r="O79" s="317">
        <v>323</v>
      </c>
      <c r="P79" s="318">
        <v>742900</v>
      </c>
      <c r="Q79" s="317">
        <v>6</v>
      </c>
      <c r="R79" s="316" t="s">
        <v>18</v>
      </c>
      <c r="S79" s="316" t="s">
        <v>18</v>
      </c>
      <c r="T79" s="316" t="s">
        <v>18</v>
      </c>
      <c r="U79" s="316" t="s">
        <v>18</v>
      </c>
      <c r="V79" s="316" t="s">
        <v>18</v>
      </c>
      <c r="W79" s="316" t="s">
        <v>18</v>
      </c>
      <c r="X79" s="316" t="s">
        <v>18</v>
      </c>
      <c r="Y79" s="316" t="s">
        <v>18</v>
      </c>
      <c r="Z79" s="316" t="s">
        <v>18</v>
      </c>
    </row>
    <row r="80" spans="1:26" x14ac:dyDescent="0.25">
      <c r="A80" s="319">
        <v>113</v>
      </c>
      <c r="B80" s="320">
        <v>46209</v>
      </c>
      <c r="C80" s="322">
        <v>10000</v>
      </c>
      <c r="D80" s="323">
        <v>3450000</v>
      </c>
      <c r="E80" s="322">
        <v>1</v>
      </c>
      <c r="F80" s="321" t="s">
        <v>18</v>
      </c>
      <c r="G80" s="321" t="s">
        <v>18</v>
      </c>
      <c r="H80" s="321" t="s">
        <v>18</v>
      </c>
      <c r="I80" s="321" t="s">
        <v>18</v>
      </c>
      <c r="J80" s="321" t="s">
        <v>18</v>
      </c>
      <c r="K80" s="321" t="s">
        <v>18</v>
      </c>
      <c r="L80" s="321" t="s">
        <v>18</v>
      </c>
      <c r="M80" s="321" t="s">
        <v>18</v>
      </c>
      <c r="N80" s="321" t="s">
        <v>18</v>
      </c>
      <c r="O80" s="322">
        <v>4800</v>
      </c>
      <c r="P80" s="323">
        <v>11040000</v>
      </c>
      <c r="Q80" s="322">
        <v>21</v>
      </c>
      <c r="R80" s="321" t="s">
        <v>18</v>
      </c>
      <c r="S80" s="321" t="s">
        <v>18</v>
      </c>
      <c r="T80" s="321" t="s">
        <v>18</v>
      </c>
      <c r="U80" s="321" t="s">
        <v>18</v>
      </c>
      <c r="V80" s="321" t="s">
        <v>18</v>
      </c>
      <c r="W80" s="321" t="s">
        <v>18</v>
      </c>
      <c r="X80" s="321" t="s">
        <v>18</v>
      </c>
      <c r="Y80" s="321" t="s">
        <v>18</v>
      </c>
      <c r="Z80" s="321" t="s">
        <v>18</v>
      </c>
    </row>
    <row r="81" spans="1:26" x14ac:dyDescent="0.25">
      <c r="A81" s="314">
        <v>114</v>
      </c>
      <c r="B81" s="315">
        <v>46210</v>
      </c>
      <c r="C81" s="317">
        <v>2464</v>
      </c>
      <c r="D81" s="318">
        <v>850080</v>
      </c>
      <c r="E81" s="317">
        <v>1</v>
      </c>
      <c r="F81" s="316" t="s">
        <v>18</v>
      </c>
      <c r="G81" s="316" t="s">
        <v>18</v>
      </c>
      <c r="H81" s="316" t="s">
        <v>18</v>
      </c>
      <c r="I81" s="317">
        <v>33877</v>
      </c>
      <c r="J81" s="318">
        <v>47427800</v>
      </c>
      <c r="K81" s="317">
        <v>31</v>
      </c>
      <c r="L81" s="316" t="s">
        <v>18</v>
      </c>
      <c r="M81" s="316" t="s">
        <v>18</v>
      </c>
      <c r="N81" s="316" t="s">
        <v>18</v>
      </c>
      <c r="O81" s="317">
        <v>58500</v>
      </c>
      <c r="P81" s="318">
        <v>134550000</v>
      </c>
      <c r="Q81" s="317">
        <v>16</v>
      </c>
      <c r="R81" s="317">
        <v>25</v>
      </c>
      <c r="S81" s="318">
        <v>11150</v>
      </c>
      <c r="T81" s="317">
        <v>2</v>
      </c>
      <c r="U81" s="316" t="s">
        <v>18</v>
      </c>
      <c r="V81" s="316" t="s">
        <v>18</v>
      </c>
      <c r="W81" s="316" t="s">
        <v>18</v>
      </c>
      <c r="X81" s="316" t="s">
        <v>18</v>
      </c>
      <c r="Y81" s="316" t="s">
        <v>18</v>
      </c>
      <c r="Z81" s="316" t="s">
        <v>18</v>
      </c>
    </row>
  </sheetData>
  <mergeCells count="5">
    <mergeCell ref="A17:AA17"/>
    <mergeCell ref="A4:AA4"/>
    <mergeCell ref="A3:AA3"/>
    <mergeCell ref="A2:AA2"/>
    <mergeCell ref="A1:AA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0"/>
  <sheetViews>
    <sheetView showGridLines="0" zoomScaleNormal="100" workbookViewId="0">
      <selection sqref="A1:E1"/>
    </sheetView>
  </sheetViews>
  <sheetFormatPr defaultColWidth="8.7109375" defaultRowHeight="15" x14ac:dyDescent="0.25"/>
  <cols>
    <col min="1" max="5" width="22" customWidth="1"/>
  </cols>
  <sheetData>
    <row r="1" spans="1:5" ht="37.5" customHeight="1" x14ac:dyDescent="0.25">
      <c r="A1" s="340" t="s">
        <v>591</v>
      </c>
      <c r="B1" s="341"/>
      <c r="C1" s="341"/>
      <c r="D1" s="341"/>
      <c r="E1" s="341"/>
    </row>
    <row r="2" spans="1:5" ht="19.5" customHeight="1" x14ac:dyDescent="0.25">
      <c r="A2" s="342" t="s">
        <v>592</v>
      </c>
      <c r="B2" s="341"/>
      <c r="C2" s="341"/>
      <c r="D2" s="341"/>
      <c r="E2" s="341"/>
    </row>
    <row r="3" spans="1:5" ht="9.75" customHeight="1" x14ac:dyDescent="0.25">
      <c r="A3" s="343"/>
      <c r="B3" s="341"/>
      <c r="C3" s="341"/>
      <c r="D3" s="341"/>
      <c r="E3" s="341"/>
    </row>
    <row r="4" spans="1:5" ht="30" customHeight="1" x14ac:dyDescent="0.25">
      <c r="A4" s="2" t="s">
        <v>566</v>
      </c>
      <c r="B4" s="2" t="s">
        <v>593</v>
      </c>
      <c r="C4" s="2" t="s">
        <v>594</v>
      </c>
      <c r="D4" s="2" t="s">
        <v>595</v>
      </c>
      <c r="E4" s="2" t="s">
        <v>596</v>
      </c>
    </row>
    <row r="5" spans="1:5" ht="21.75" customHeight="1" x14ac:dyDescent="0.25">
      <c r="A5" s="205">
        <v>3</v>
      </c>
      <c r="B5" s="324">
        <v>46028</v>
      </c>
      <c r="C5" s="325">
        <v>3845.12</v>
      </c>
      <c r="D5" s="326">
        <v>0</v>
      </c>
      <c r="E5" s="327">
        <v>746.75300000000004</v>
      </c>
    </row>
    <row r="6" spans="1:5" ht="21.75" customHeight="1" x14ac:dyDescent="0.25">
      <c r="A6" s="205">
        <v>4</v>
      </c>
      <c r="B6" s="324">
        <v>46030</v>
      </c>
      <c r="C6" s="325">
        <v>3844.13</v>
      </c>
      <c r="D6" s="326">
        <v>-0.99</v>
      </c>
      <c r="E6" s="327">
        <v>746.553</v>
      </c>
    </row>
    <row r="7" spans="1:5" ht="21.75" customHeight="1" x14ac:dyDescent="0.25">
      <c r="A7" s="205">
        <v>5</v>
      </c>
      <c r="B7" s="324">
        <v>46033</v>
      </c>
      <c r="C7" s="325">
        <v>3844.13</v>
      </c>
      <c r="D7" s="326">
        <v>0</v>
      </c>
      <c r="E7" s="327">
        <v>746.553</v>
      </c>
    </row>
    <row r="8" spans="1:5" ht="21.75" customHeight="1" x14ac:dyDescent="0.25">
      <c r="A8" s="205">
        <v>7</v>
      </c>
      <c r="B8" s="324">
        <v>46035</v>
      </c>
      <c r="C8" s="325">
        <v>3833.23</v>
      </c>
      <c r="D8" s="326">
        <v>-10.9</v>
      </c>
      <c r="E8" s="327">
        <v>744.67899999999997</v>
      </c>
    </row>
    <row r="9" spans="1:5" ht="21.75" customHeight="1" x14ac:dyDescent="0.25">
      <c r="A9" s="205">
        <v>8</v>
      </c>
      <c r="B9" s="324">
        <v>46037</v>
      </c>
      <c r="C9" s="325">
        <v>3833.31</v>
      </c>
      <c r="D9" s="326">
        <v>0.08</v>
      </c>
      <c r="E9" s="327">
        <v>744.69299999999998</v>
      </c>
    </row>
    <row r="10" spans="1:5" ht="21.75" customHeight="1" x14ac:dyDescent="0.25">
      <c r="A10" s="205">
        <v>10</v>
      </c>
      <c r="B10" s="324">
        <v>46040</v>
      </c>
      <c r="C10" s="325">
        <v>3834.54</v>
      </c>
      <c r="D10" s="326">
        <v>1.23</v>
      </c>
      <c r="E10" s="327">
        <v>744.90200000000004</v>
      </c>
    </row>
    <row r="11" spans="1:5" ht="21.75" customHeight="1" x14ac:dyDescent="0.25">
      <c r="A11" s="205">
        <v>12</v>
      </c>
      <c r="B11" s="324">
        <v>46042</v>
      </c>
      <c r="C11" s="325">
        <v>3833.55</v>
      </c>
      <c r="D11" s="326">
        <v>-0.99</v>
      </c>
      <c r="E11" s="327">
        <v>744.79899999999998</v>
      </c>
    </row>
    <row r="12" spans="1:5" ht="21.75" customHeight="1" x14ac:dyDescent="0.25">
      <c r="A12" s="205">
        <v>13</v>
      </c>
      <c r="B12" s="324">
        <v>46044</v>
      </c>
      <c r="C12" s="325">
        <v>3834.54</v>
      </c>
      <c r="D12" s="326">
        <v>0.99</v>
      </c>
      <c r="E12" s="327">
        <v>744.99900000000002</v>
      </c>
    </row>
    <row r="13" spans="1:5" ht="21.75" customHeight="1" x14ac:dyDescent="0.25">
      <c r="A13" s="205">
        <v>15</v>
      </c>
      <c r="B13" s="324">
        <v>46047</v>
      </c>
      <c r="C13" s="325">
        <v>3834.54</v>
      </c>
      <c r="D13" s="326">
        <v>0</v>
      </c>
      <c r="E13" s="327">
        <v>744.99900000000002</v>
      </c>
    </row>
    <row r="14" spans="1:5" ht="21.75" customHeight="1" x14ac:dyDescent="0.25">
      <c r="A14" s="205">
        <v>17</v>
      </c>
      <c r="B14" s="324">
        <v>46049</v>
      </c>
      <c r="C14" s="325">
        <v>3832.56</v>
      </c>
      <c r="D14" s="326">
        <v>-1.98</v>
      </c>
      <c r="E14" s="327">
        <v>744.59900000000005</v>
      </c>
    </row>
    <row r="15" spans="1:5" ht="21.75" customHeight="1" x14ac:dyDescent="0.25">
      <c r="A15" s="205">
        <v>18</v>
      </c>
      <c r="B15" s="324">
        <v>46051</v>
      </c>
      <c r="C15" s="325">
        <v>3832.56</v>
      </c>
      <c r="D15" s="326">
        <v>0</v>
      </c>
      <c r="E15" s="327">
        <v>744.59900000000005</v>
      </c>
    </row>
    <row r="16" spans="1:5" ht="21.75" customHeight="1" x14ac:dyDescent="0.25">
      <c r="A16" s="205">
        <v>19</v>
      </c>
      <c r="B16" s="324">
        <v>46054</v>
      </c>
      <c r="C16" s="325">
        <v>3832.56</v>
      </c>
      <c r="D16" s="326">
        <v>0</v>
      </c>
      <c r="E16" s="327">
        <v>744.59900000000005</v>
      </c>
    </row>
    <row r="17" spans="1:5" ht="21.75" customHeight="1" x14ac:dyDescent="0.25">
      <c r="A17" s="205">
        <v>21</v>
      </c>
      <c r="B17" s="324">
        <v>46056</v>
      </c>
      <c r="C17" s="325">
        <v>3827.62</v>
      </c>
      <c r="D17" s="326">
        <v>-4.9400000000000004</v>
      </c>
      <c r="E17" s="327">
        <v>741.18899999999996</v>
      </c>
    </row>
    <row r="18" spans="1:5" ht="21.75" customHeight="1" x14ac:dyDescent="0.25">
      <c r="A18" s="205">
        <v>22</v>
      </c>
      <c r="B18" s="324">
        <v>46058</v>
      </c>
      <c r="C18" s="325">
        <v>3826.63</v>
      </c>
      <c r="D18" s="326">
        <v>-0.99</v>
      </c>
      <c r="E18" s="327">
        <v>740.98900000000003</v>
      </c>
    </row>
    <row r="19" spans="1:5" ht="21.75" customHeight="1" x14ac:dyDescent="0.25">
      <c r="A19" s="205">
        <v>23</v>
      </c>
      <c r="B19" s="324">
        <v>46061</v>
      </c>
      <c r="C19" s="325">
        <v>3826.63</v>
      </c>
      <c r="D19" s="326">
        <v>0</v>
      </c>
      <c r="E19" s="327">
        <v>740.98900000000003</v>
      </c>
    </row>
    <row r="20" spans="1:5" x14ac:dyDescent="0.25">
      <c r="A20" s="205">
        <v>25</v>
      </c>
      <c r="B20" s="324">
        <v>46063</v>
      </c>
      <c r="C20" s="325">
        <v>3822.67</v>
      </c>
      <c r="D20" s="326">
        <v>-3.96</v>
      </c>
      <c r="E20" s="327">
        <v>740.18899999999996</v>
      </c>
    </row>
    <row r="21" spans="1:5" x14ac:dyDescent="0.25">
      <c r="A21" s="205">
        <v>26</v>
      </c>
      <c r="B21" s="324">
        <v>46065</v>
      </c>
      <c r="C21" s="325">
        <v>3806.85</v>
      </c>
      <c r="D21" s="326">
        <v>-15.82</v>
      </c>
      <c r="E21" s="327">
        <v>736.98900000000003</v>
      </c>
    </row>
    <row r="22" spans="1:5" ht="49.5" customHeight="1" x14ac:dyDescent="0.25">
      <c r="A22" s="205">
        <v>28</v>
      </c>
      <c r="B22" s="324">
        <v>46068</v>
      </c>
      <c r="C22" s="325">
        <v>3806.85</v>
      </c>
      <c r="D22" s="326">
        <v>0</v>
      </c>
      <c r="E22" s="327">
        <v>736.98900000000003</v>
      </c>
    </row>
    <row r="23" spans="1:5" x14ac:dyDescent="0.25">
      <c r="A23" s="205">
        <v>29</v>
      </c>
      <c r="B23" s="324">
        <v>46070</v>
      </c>
      <c r="C23" s="325">
        <v>3798.06</v>
      </c>
      <c r="D23" s="326">
        <v>-8.7899999999999991</v>
      </c>
      <c r="E23" s="327">
        <v>735.21500000000003</v>
      </c>
    </row>
    <row r="24" spans="1:5" x14ac:dyDescent="0.25">
      <c r="A24" s="205">
        <v>30</v>
      </c>
      <c r="B24" s="324">
        <v>46072</v>
      </c>
      <c r="C24" s="325">
        <v>3788.07</v>
      </c>
      <c r="D24" s="326">
        <v>-9.99</v>
      </c>
      <c r="E24" s="327">
        <v>733.18899999999996</v>
      </c>
    </row>
    <row r="25" spans="1:5" x14ac:dyDescent="0.25">
      <c r="A25" s="205">
        <v>32</v>
      </c>
      <c r="B25" s="324">
        <v>46075</v>
      </c>
      <c r="C25" s="325">
        <v>3788.07</v>
      </c>
      <c r="D25" s="326">
        <v>0</v>
      </c>
      <c r="E25" s="327">
        <v>733.18899999999996</v>
      </c>
    </row>
    <row r="26" spans="1:5" x14ac:dyDescent="0.25">
      <c r="A26" s="205">
        <v>34</v>
      </c>
      <c r="B26" s="324">
        <v>46077</v>
      </c>
      <c r="C26" s="325">
        <v>3787.08</v>
      </c>
      <c r="D26" s="326">
        <v>-0.99</v>
      </c>
      <c r="E26" s="327">
        <v>732.98900000000003</v>
      </c>
    </row>
    <row r="27" spans="1:5" x14ac:dyDescent="0.25">
      <c r="A27" s="205">
        <v>35</v>
      </c>
      <c r="B27" s="324">
        <v>46079</v>
      </c>
      <c r="C27" s="325">
        <v>3787.18</v>
      </c>
      <c r="D27" s="326">
        <v>0.1</v>
      </c>
      <c r="E27" s="327">
        <v>733.01499999999999</v>
      </c>
    </row>
    <row r="28" spans="1:5" x14ac:dyDescent="0.25">
      <c r="A28" s="205">
        <v>56</v>
      </c>
      <c r="B28" s="324">
        <v>46112</v>
      </c>
      <c r="C28" s="325">
        <v>3738.84</v>
      </c>
      <c r="D28" s="326">
        <v>-48.34</v>
      </c>
      <c r="E28" s="327">
        <v>723.24</v>
      </c>
    </row>
    <row r="29" spans="1:5" x14ac:dyDescent="0.25">
      <c r="A29" s="205">
        <v>57</v>
      </c>
      <c r="B29" s="324">
        <v>46114</v>
      </c>
      <c r="C29" s="325">
        <v>3687.42</v>
      </c>
      <c r="D29" s="326">
        <v>-51.42</v>
      </c>
      <c r="E29" s="327">
        <v>712.82799999999997</v>
      </c>
    </row>
    <row r="30" spans="1:5" x14ac:dyDescent="0.25">
      <c r="A30" s="205">
        <v>59</v>
      </c>
      <c r="B30" s="324">
        <v>46117</v>
      </c>
      <c r="C30" s="325">
        <v>3733.89</v>
      </c>
      <c r="D30" s="326">
        <v>46.47</v>
      </c>
      <c r="E30" s="327">
        <v>722.22799999999995</v>
      </c>
    </row>
    <row r="31" spans="1:5" x14ac:dyDescent="0.25">
      <c r="A31" s="205">
        <v>60</v>
      </c>
      <c r="B31" s="324">
        <v>46119</v>
      </c>
      <c r="C31" s="325">
        <v>3629.18</v>
      </c>
      <c r="D31" s="326">
        <v>-104.71</v>
      </c>
      <c r="E31" s="327">
        <v>701.08</v>
      </c>
    </row>
    <row r="32" spans="1:5" x14ac:dyDescent="0.25">
      <c r="A32" s="205">
        <v>61</v>
      </c>
      <c r="B32" s="324">
        <v>46121</v>
      </c>
      <c r="C32" s="325">
        <v>3589.63</v>
      </c>
      <c r="D32" s="326">
        <v>-39.549999999999997</v>
      </c>
      <c r="E32" s="327">
        <v>693.08</v>
      </c>
    </row>
    <row r="33" spans="1:5" x14ac:dyDescent="0.25">
      <c r="A33" s="205">
        <v>62</v>
      </c>
      <c r="B33" s="324">
        <v>46124</v>
      </c>
      <c r="C33" s="325">
        <v>3629.18</v>
      </c>
      <c r="D33" s="326">
        <v>39.549999999999997</v>
      </c>
      <c r="E33" s="327">
        <v>701.08</v>
      </c>
    </row>
    <row r="34" spans="1:5" x14ac:dyDescent="0.25">
      <c r="A34" s="205">
        <v>64</v>
      </c>
      <c r="B34" s="324">
        <v>46126</v>
      </c>
      <c r="C34" s="325">
        <v>3588.84</v>
      </c>
      <c r="D34" s="326">
        <v>-40.340000000000003</v>
      </c>
      <c r="E34" s="327">
        <v>692.95799999999997</v>
      </c>
    </row>
    <row r="35" spans="1:5" x14ac:dyDescent="0.25">
      <c r="A35" s="205">
        <v>65</v>
      </c>
      <c r="B35" s="324">
        <v>46128</v>
      </c>
      <c r="C35" s="325">
        <v>3580.23</v>
      </c>
      <c r="D35" s="326">
        <v>-8.61</v>
      </c>
      <c r="E35" s="327">
        <v>691.31600000000003</v>
      </c>
    </row>
    <row r="36" spans="1:5" x14ac:dyDescent="0.25">
      <c r="A36" s="205">
        <v>67</v>
      </c>
      <c r="B36" s="324">
        <v>46131</v>
      </c>
      <c r="C36" s="325">
        <v>3588.84</v>
      </c>
      <c r="D36" s="326">
        <v>8.61</v>
      </c>
      <c r="E36" s="327">
        <v>692.95799999999997</v>
      </c>
    </row>
    <row r="37" spans="1:5" x14ac:dyDescent="0.25">
      <c r="A37" s="205">
        <v>69</v>
      </c>
      <c r="B37" s="324">
        <v>46133</v>
      </c>
      <c r="C37" s="325">
        <v>3618.5</v>
      </c>
      <c r="D37" s="326">
        <v>29.66</v>
      </c>
      <c r="E37" s="327">
        <v>698.95799999999997</v>
      </c>
    </row>
    <row r="38" spans="1:5" x14ac:dyDescent="0.25">
      <c r="A38" s="205">
        <v>70</v>
      </c>
      <c r="B38" s="324">
        <v>46135</v>
      </c>
      <c r="C38" s="325">
        <v>3617.52</v>
      </c>
      <c r="D38" s="326">
        <v>-0.98</v>
      </c>
      <c r="E38" s="327">
        <v>698.75800000000004</v>
      </c>
    </row>
    <row r="39" spans="1:5" x14ac:dyDescent="0.25">
      <c r="A39" s="205">
        <v>72</v>
      </c>
      <c r="B39" s="324">
        <v>46138</v>
      </c>
      <c r="C39" s="325">
        <v>3628.39</v>
      </c>
      <c r="D39" s="326">
        <v>10.87</v>
      </c>
      <c r="E39" s="327">
        <v>700.95799999999997</v>
      </c>
    </row>
    <row r="40" spans="1:5" x14ac:dyDescent="0.25">
      <c r="A40" s="205">
        <v>73</v>
      </c>
      <c r="B40" s="324">
        <v>46140</v>
      </c>
      <c r="C40" s="325">
        <v>3630.09</v>
      </c>
      <c r="D40" s="326">
        <v>1.7</v>
      </c>
      <c r="E40" s="327">
        <v>701.37800000000004</v>
      </c>
    </row>
    <row r="41" spans="1:5" x14ac:dyDescent="0.25">
      <c r="A41" s="205">
        <v>74</v>
      </c>
      <c r="B41" s="324">
        <v>46142</v>
      </c>
      <c r="C41" s="325">
        <v>3630.09</v>
      </c>
      <c r="D41" s="326">
        <v>0</v>
      </c>
      <c r="E41" s="327">
        <v>701.37800000000004</v>
      </c>
    </row>
    <row r="42" spans="1:5" x14ac:dyDescent="0.25">
      <c r="A42" s="205">
        <v>76</v>
      </c>
      <c r="B42" s="324">
        <v>46145</v>
      </c>
      <c r="C42" s="325">
        <v>3630.98</v>
      </c>
      <c r="D42" s="326">
        <v>0.89</v>
      </c>
      <c r="E42" s="327">
        <v>701.52599999999995</v>
      </c>
    </row>
    <row r="43" spans="1:5" x14ac:dyDescent="0.25">
      <c r="A43" s="205">
        <v>77</v>
      </c>
      <c r="B43" s="324">
        <v>46147</v>
      </c>
      <c r="C43" s="325">
        <v>3604.32</v>
      </c>
      <c r="D43" s="326">
        <v>-26.66</v>
      </c>
      <c r="E43" s="327">
        <v>697.11099999999999</v>
      </c>
    </row>
    <row r="44" spans="1:5" x14ac:dyDescent="0.25">
      <c r="A44" s="205">
        <v>78</v>
      </c>
      <c r="B44" s="324">
        <v>46149</v>
      </c>
      <c r="C44" s="325">
        <v>3629.52</v>
      </c>
      <c r="D44" s="326">
        <v>25.2</v>
      </c>
      <c r="E44" s="327">
        <v>701.28899999999999</v>
      </c>
    </row>
    <row r="45" spans="1:5" x14ac:dyDescent="0.25">
      <c r="A45" s="205">
        <v>79</v>
      </c>
      <c r="B45" s="324">
        <v>46152</v>
      </c>
      <c r="C45" s="325">
        <v>3629.61</v>
      </c>
      <c r="D45" s="326">
        <v>0.09</v>
      </c>
      <c r="E45" s="327">
        <v>701.303</v>
      </c>
    </row>
    <row r="46" spans="1:5" x14ac:dyDescent="0.25">
      <c r="A46" s="205">
        <v>82</v>
      </c>
      <c r="B46" s="324">
        <v>46154</v>
      </c>
      <c r="C46" s="325">
        <v>3629.61</v>
      </c>
      <c r="D46" s="326">
        <v>0</v>
      </c>
      <c r="E46" s="327">
        <v>701.303</v>
      </c>
    </row>
    <row r="47" spans="1:5" x14ac:dyDescent="0.25">
      <c r="A47" s="205">
        <v>83</v>
      </c>
      <c r="B47" s="324">
        <v>46156</v>
      </c>
      <c r="C47" s="325">
        <v>3630.5</v>
      </c>
      <c r="D47" s="326">
        <v>0.89</v>
      </c>
      <c r="E47" s="327">
        <v>701.45100000000002</v>
      </c>
    </row>
    <row r="48" spans="1:5" x14ac:dyDescent="0.25">
      <c r="A48" s="205">
        <v>85</v>
      </c>
      <c r="B48" s="324">
        <v>46159</v>
      </c>
      <c r="C48" s="325">
        <v>3630.5</v>
      </c>
      <c r="D48" s="326">
        <v>0</v>
      </c>
      <c r="E48" s="327">
        <v>701.45100000000002</v>
      </c>
    </row>
    <row r="49" spans="1:5" x14ac:dyDescent="0.25">
      <c r="A49" s="205">
        <v>87</v>
      </c>
      <c r="B49" s="324">
        <v>46161</v>
      </c>
      <c r="C49" s="325">
        <v>3607.95</v>
      </c>
      <c r="D49" s="326">
        <v>-22.55</v>
      </c>
      <c r="E49" s="327">
        <v>696.91200000000003</v>
      </c>
    </row>
    <row r="50" spans="1:5" x14ac:dyDescent="0.25">
      <c r="A50" s="205">
        <v>88</v>
      </c>
      <c r="B50" s="324">
        <v>46163</v>
      </c>
      <c r="C50" s="325">
        <v>3607.86</v>
      </c>
      <c r="D50" s="326">
        <v>-0.09</v>
      </c>
      <c r="E50" s="327">
        <v>696.89800000000002</v>
      </c>
    </row>
    <row r="51" spans="1:5" x14ac:dyDescent="0.25">
      <c r="A51" s="205">
        <v>90</v>
      </c>
      <c r="B51" s="324">
        <v>46166</v>
      </c>
      <c r="C51" s="325">
        <v>3608.85</v>
      </c>
      <c r="D51" s="326">
        <v>0.99</v>
      </c>
      <c r="E51" s="327">
        <v>697.09799999999996</v>
      </c>
    </row>
    <row r="52" spans="1:5" x14ac:dyDescent="0.25">
      <c r="A52" s="205">
        <v>91</v>
      </c>
      <c r="B52" s="324">
        <v>46168</v>
      </c>
      <c r="C52" s="325">
        <v>3610.16</v>
      </c>
      <c r="D52" s="326">
        <v>1.31</v>
      </c>
      <c r="E52" s="327">
        <v>697.34799999999996</v>
      </c>
    </row>
    <row r="53" spans="1:5" x14ac:dyDescent="0.25">
      <c r="A53" s="205">
        <v>93</v>
      </c>
      <c r="B53" s="324">
        <v>46173</v>
      </c>
      <c r="C53" s="325">
        <v>3608.18</v>
      </c>
      <c r="D53" s="326">
        <v>-1.98</v>
      </c>
      <c r="E53" s="327">
        <v>696.947</v>
      </c>
    </row>
    <row r="54" spans="1:5" x14ac:dyDescent="0.25">
      <c r="A54" s="328">
        <v>94</v>
      </c>
      <c r="B54" s="329">
        <v>46175</v>
      </c>
      <c r="C54" s="330">
        <v>3609.17</v>
      </c>
      <c r="D54" s="331">
        <v>0.99</v>
      </c>
      <c r="E54" s="332">
        <v>697.14700000000005</v>
      </c>
    </row>
    <row r="55" spans="1:5" x14ac:dyDescent="0.25">
      <c r="A55" s="205">
        <v>96</v>
      </c>
      <c r="B55" s="324">
        <v>46177</v>
      </c>
      <c r="C55" s="325">
        <v>3607.19</v>
      </c>
      <c r="D55" s="333">
        <v>-1.98</v>
      </c>
      <c r="E55" s="327">
        <v>696.74699999999996</v>
      </c>
    </row>
    <row r="56" spans="1:5" x14ac:dyDescent="0.25">
      <c r="A56" s="328">
        <v>97</v>
      </c>
      <c r="B56" s="329">
        <v>46180</v>
      </c>
      <c r="C56" s="330">
        <v>3606.3</v>
      </c>
      <c r="D56" s="334">
        <v>-0.89</v>
      </c>
      <c r="E56" s="332">
        <v>696.6</v>
      </c>
    </row>
    <row r="57" spans="1:5" x14ac:dyDescent="0.25">
      <c r="A57" s="205">
        <v>99</v>
      </c>
      <c r="B57" s="324">
        <v>46182</v>
      </c>
      <c r="C57" s="325">
        <v>3606.3</v>
      </c>
      <c r="D57" s="326">
        <v>0</v>
      </c>
      <c r="E57" s="327">
        <v>696.6</v>
      </c>
    </row>
    <row r="58" spans="1:5" x14ac:dyDescent="0.25">
      <c r="A58" s="328">
        <v>100</v>
      </c>
      <c r="B58" s="329">
        <v>46184</v>
      </c>
      <c r="C58" s="330">
        <v>3606.58</v>
      </c>
      <c r="D58" s="331">
        <v>0.28000000000000003</v>
      </c>
      <c r="E58" s="332">
        <v>696.71900000000005</v>
      </c>
    </row>
    <row r="59" spans="1:5" x14ac:dyDescent="0.25">
      <c r="A59" s="205">
        <v>101</v>
      </c>
      <c r="B59" s="324">
        <v>46187</v>
      </c>
      <c r="C59" s="325">
        <v>3629.13</v>
      </c>
      <c r="D59" s="326">
        <v>22.55</v>
      </c>
      <c r="E59" s="327">
        <v>701.21400000000006</v>
      </c>
    </row>
    <row r="60" spans="1:5" x14ac:dyDescent="0.25">
      <c r="A60" s="304">
        <v>103</v>
      </c>
      <c r="B60" s="335">
        <v>46190</v>
      </c>
      <c r="C60" s="336">
        <v>3732.85</v>
      </c>
      <c r="D60" s="337">
        <v>103.72</v>
      </c>
      <c r="E60" s="338">
        <v>722.16099999999994</v>
      </c>
    </row>
    <row r="61" spans="1:5" x14ac:dyDescent="0.25">
      <c r="A61" s="304">
        <v>104</v>
      </c>
      <c r="B61" s="335">
        <v>46191</v>
      </c>
      <c r="C61" s="339">
        <v>3837.57</v>
      </c>
      <c r="D61" s="337">
        <v>104.72</v>
      </c>
      <c r="E61" s="338">
        <v>743.34699999999998</v>
      </c>
    </row>
    <row r="62" spans="1:5" x14ac:dyDescent="0.25">
      <c r="A62" s="304">
        <v>105</v>
      </c>
      <c r="B62" s="335">
        <v>46194</v>
      </c>
      <c r="C62" s="339">
        <v>3839.35</v>
      </c>
      <c r="D62" s="337">
        <v>1.78</v>
      </c>
      <c r="E62" s="338">
        <v>743.64200000000005</v>
      </c>
    </row>
    <row r="63" spans="1:5" x14ac:dyDescent="0.25">
      <c r="A63" s="304">
        <v>107</v>
      </c>
      <c r="B63" s="335">
        <v>46196</v>
      </c>
      <c r="C63" s="339">
        <v>3839.35</v>
      </c>
      <c r="D63" s="337">
        <v>0</v>
      </c>
      <c r="E63" s="338">
        <v>743.64200000000005</v>
      </c>
    </row>
    <row r="64" spans="1:5" x14ac:dyDescent="0.25">
      <c r="A64" s="304">
        <v>109</v>
      </c>
      <c r="B64" s="335">
        <v>46201</v>
      </c>
      <c r="C64" s="339">
        <v>3839.35</v>
      </c>
      <c r="D64" s="337">
        <v>0</v>
      </c>
      <c r="E64" s="338">
        <v>743.64200000000005</v>
      </c>
    </row>
    <row r="65" spans="1:5" x14ac:dyDescent="0.25">
      <c r="A65" s="304">
        <v>111</v>
      </c>
      <c r="B65" s="335">
        <v>46203</v>
      </c>
      <c r="C65" s="339">
        <v>3839.35</v>
      </c>
      <c r="D65" s="337">
        <v>0</v>
      </c>
      <c r="E65" s="338">
        <v>743.64200000000005</v>
      </c>
    </row>
    <row r="66" spans="1:5" x14ac:dyDescent="0.25">
      <c r="A66" s="304">
        <v>113</v>
      </c>
      <c r="B66" s="335">
        <v>46209</v>
      </c>
      <c r="C66" s="339">
        <v>3839.44</v>
      </c>
      <c r="D66" s="337">
        <v>0.09</v>
      </c>
      <c r="E66" s="338">
        <v>743.65599999999995</v>
      </c>
    </row>
    <row r="67" spans="1:5" x14ac:dyDescent="0.25">
      <c r="A67" s="304">
        <v>114</v>
      </c>
      <c r="B67" s="335">
        <v>46210</v>
      </c>
      <c r="C67" s="339">
        <v>3839.48</v>
      </c>
      <c r="D67" s="337">
        <v>0.04</v>
      </c>
      <c r="E67" s="338">
        <v>743.66600000000005</v>
      </c>
    </row>
    <row r="70" spans="1:5" x14ac:dyDescent="0.25">
      <c r="A70" s="352" t="s">
        <v>597</v>
      </c>
      <c r="B70" s="341"/>
      <c r="C70" s="341"/>
      <c r="D70" s="341"/>
      <c r="E70" s="341"/>
    </row>
  </sheetData>
  <mergeCells count="4">
    <mergeCell ref="A2:E2"/>
    <mergeCell ref="A1:E1"/>
    <mergeCell ref="A70:E70"/>
    <mergeCell ref="A3:E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Prix BAA</vt:lpstr>
      <vt:lpstr>Dividendes</vt:lpstr>
      <vt:lpstr>Rendements</vt:lpstr>
      <vt:lpstr>Statistiques</vt:lpstr>
      <vt:lpstr>Portefeuilles</vt:lpstr>
      <vt:lpstr>Corrélation</vt:lpstr>
      <vt:lpstr>Taux Directeur</vt:lpstr>
      <vt:lpstr>Capitalisation</vt:lpstr>
      <vt:lpstr>Inflation</vt:lpstr>
      <vt:lpstr>Taux de Change</vt:lpstr>
      <vt:lpstr>Volumes BOC</vt:lpstr>
      <vt:lpstr>DZAIRINDEX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Younes Benzouai</cp:lastModifiedBy>
  <cp:revision>0</cp:revision>
  <dcterms:created xsi:type="dcterms:W3CDTF">2026-07-07T15:00:51Z</dcterms:created>
  <dcterms:modified xsi:type="dcterms:W3CDTF">2026-07-07T22:57:24Z</dcterms:modified>
  <dc:language>en-US</dc:language>
</cp:coreProperties>
</file>